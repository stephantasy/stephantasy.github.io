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phantasy\Desktop\Vente_Objets\_SiteWeb\data\"/>
    </mc:Choice>
  </mc:AlternateContent>
  <bookViews>
    <workbookView xWindow="0" yWindow="0" windowWidth="20010" windowHeight="12180"/>
  </bookViews>
  <sheets>
    <sheet name="Feuil1" sheetId="1" r:id="rId1"/>
    <sheet name="TOU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4" i="1" l="1"/>
  <c r="J333" i="1"/>
  <c r="J583" i="1"/>
  <c r="J582" i="1"/>
  <c r="I580" i="1"/>
  <c r="I579" i="1"/>
  <c r="I578" i="1"/>
  <c r="I577" i="1"/>
  <c r="H576" i="1"/>
  <c r="A576" i="1"/>
  <c r="J573" i="1"/>
  <c r="I571" i="1"/>
  <c r="I570" i="1"/>
  <c r="I569" i="1"/>
  <c r="I568" i="1"/>
  <c r="H567" i="1"/>
  <c r="A567" i="1"/>
  <c r="A485" i="1"/>
  <c r="J464" i="1" l="1"/>
  <c r="J564" i="1" l="1"/>
  <c r="I562" i="1"/>
  <c r="I561" i="1"/>
  <c r="I560" i="1"/>
  <c r="I559" i="1"/>
  <c r="J555" i="1"/>
  <c r="I553" i="1"/>
  <c r="I552" i="1"/>
  <c r="I551" i="1"/>
  <c r="I550" i="1"/>
  <c r="J546" i="1"/>
  <c r="J545" i="1"/>
  <c r="J544" i="1"/>
  <c r="J543" i="1"/>
  <c r="J542" i="1"/>
  <c r="J541" i="1"/>
  <c r="J540" i="1"/>
  <c r="J539" i="1"/>
  <c r="J538" i="1"/>
  <c r="I536" i="1"/>
  <c r="I535" i="1"/>
  <c r="I534" i="1"/>
  <c r="I533" i="1"/>
  <c r="J529" i="1"/>
  <c r="J528" i="1"/>
  <c r="J527" i="1"/>
  <c r="J526" i="1"/>
  <c r="J525" i="1"/>
  <c r="J524" i="1"/>
  <c r="J523" i="1"/>
  <c r="J522" i="1"/>
  <c r="I520" i="1"/>
  <c r="I519" i="1"/>
  <c r="I518" i="1"/>
  <c r="I517" i="1"/>
  <c r="J513" i="1"/>
  <c r="J512" i="1"/>
  <c r="J511" i="1"/>
  <c r="J510" i="1"/>
  <c r="J509" i="1"/>
  <c r="J508" i="1"/>
  <c r="J507" i="1"/>
  <c r="J506" i="1"/>
  <c r="J505" i="1"/>
  <c r="J504" i="1"/>
  <c r="I502" i="1"/>
  <c r="I501" i="1"/>
  <c r="I500" i="1"/>
  <c r="I499" i="1"/>
  <c r="J495" i="1"/>
  <c r="J494" i="1"/>
  <c r="J493" i="1"/>
  <c r="J492" i="1"/>
  <c r="J491" i="1"/>
  <c r="I489" i="1"/>
  <c r="I488" i="1"/>
  <c r="I487" i="1"/>
  <c r="I486" i="1"/>
  <c r="J482" i="1"/>
  <c r="J481" i="1"/>
  <c r="J480" i="1"/>
  <c r="J479" i="1"/>
  <c r="J478" i="1"/>
  <c r="J477" i="1"/>
  <c r="J476" i="1"/>
  <c r="J475" i="1"/>
  <c r="J474" i="1"/>
  <c r="J473" i="1"/>
  <c r="I471" i="1"/>
  <c r="I470" i="1"/>
  <c r="I469" i="1"/>
  <c r="I468" i="1"/>
  <c r="J463" i="1"/>
  <c r="J462" i="1"/>
  <c r="J461" i="1"/>
  <c r="J460" i="1"/>
  <c r="J459" i="1"/>
  <c r="J458" i="1"/>
  <c r="J457" i="1"/>
  <c r="J456" i="1"/>
  <c r="J455" i="1"/>
  <c r="I453" i="1"/>
  <c r="I452" i="1"/>
  <c r="I451" i="1"/>
  <c r="I450" i="1"/>
  <c r="J446" i="1" l="1"/>
  <c r="J445" i="1"/>
  <c r="I443" i="1"/>
  <c r="I442" i="1"/>
  <c r="I441" i="1"/>
  <c r="I440" i="1"/>
  <c r="J283" i="1" l="1"/>
  <c r="J282" i="1"/>
  <c r="J436" i="1" l="1"/>
  <c r="J435" i="1"/>
  <c r="J434" i="1"/>
  <c r="I432" i="1"/>
  <c r="I431" i="1"/>
  <c r="I430" i="1"/>
  <c r="I429" i="1"/>
  <c r="J252" i="1" l="1"/>
  <c r="J251" i="1"/>
  <c r="J262" i="1"/>
  <c r="J272" i="1"/>
  <c r="J330" i="1"/>
  <c r="J331" i="1"/>
  <c r="J332" i="1"/>
  <c r="J344" i="1"/>
  <c r="J354" i="1"/>
  <c r="J355" i="1"/>
  <c r="J356" i="1"/>
  <c r="J366" i="1"/>
  <c r="J392" i="1"/>
  <c r="J391" i="1"/>
  <c r="J390" i="1"/>
  <c r="J414" i="1"/>
  <c r="J413" i="1"/>
  <c r="J424" i="1"/>
  <c r="J425" i="1"/>
  <c r="J387" i="1" l="1"/>
  <c r="J320" i="1"/>
  <c r="J319" i="1"/>
  <c r="J318" i="1"/>
  <c r="J317" i="1"/>
  <c r="J423" i="1" l="1"/>
  <c r="I421" i="1"/>
  <c r="I420" i="1"/>
  <c r="I419" i="1"/>
  <c r="I418" i="1"/>
  <c r="J412" i="1" l="1"/>
  <c r="I410" i="1"/>
  <c r="I409" i="1"/>
  <c r="I408" i="1"/>
  <c r="I407" i="1"/>
  <c r="J403" i="1"/>
  <c r="J402" i="1"/>
  <c r="J401" i="1"/>
  <c r="I399" i="1"/>
  <c r="I398" i="1"/>
  <c r="I397" i="1"/>
  <c r="I396" i="1"/>
  <c r="J389" i="1"/>
  <c r="J388" i="1"/>
  <c r="I385" i="1"/>
  <c r="I384" i="1"/>
  <c r="I383" i="1"/>
  <c r="I382" i="1"/>
  <c r="J378" i="1"/>
  <c r="I376" i="1"/>
  <c r="I375" i="1"/>
  <c r="I374" i="1"/>
  <c r="I373" i="1"/>
  <c r="J369" i="1"/>
  <c r="J368" i="1"/>
  <c r="J367" i="1"/>
  <c r="J365" i="1"/>
  <c r="I363" i="1"/>
  <c r="I362" i="1"/>
  <c r="I361" i="1"/>
  <c r="I360" i="1"/>
  <c r="I351" i="1" l="1"/>
  <c r="I341" i="1"/>
  <c r="I327" i="1"/>
  <c r="I311" i="1"/>
  <c r="I301" i="1"/>
  <c r="I290" i="1"/>
  <c r="I279" i="1"/>
  <c r="I269" i="1"/>
  <c r="I259" i="1"/>
  <c r="I248" i="1"/>
  <c r="I238" i="1"/>
  <c r="I223" i="1"/>
  <c r="I213" i="1"/>
  <c r="I202" i="1"/>
  <c r="I192" i="1"/>
  <c r="I180" i="1"/>
  <c r="I168" i="1"/>
  <c r="I157" i="1"/>
  <c r="I145" i="1"/>
  <c r="I132" i="1"/>
  <c r="I118" i="1"/>
  <c r="I108" i="1"/>
  <c r="I94" i="1"/>
  <c r="I82" i="1"/>
  <c r="I70" i="1"/>
  <c r="I58" i="1"/>
  <c r="I44" i="1"/>
  <c r="I33" i="1"/>
  <c r="I19" i="1"/>
  <c r="I7" i="1"/>
  <c r="J353" i="1" l="1"/>
  <c r="I350" i="1"/>
  <c r="I349" i="1"/>
  <c r="I348" i="1"/>
  <c r="J343" i="1"/>
  <c r="I340" i="1"/>
  <c r="I339" i="1"/>
  <c r="I338" i="1"/>
  <c r="J329" i="1"/>
  <c r="I326" i="1"/>
  <c r="I325" i="1"/>
  <c r="I324" i="1"/>
  <c r="J316" i="1"/>
  <c r="J315" i="1"/>
  <c r="J314" i="1"/>
  <c r="J313" i="1"/>
  <c r="I310" i="1"/>
  <c r="I309" i="1"/>
  <c r="I308" i="1"/>
  <c r="J304" i="1"/>
  <c r="J303" i="1"/>
  <c r="I300" i="1"/>
  <c r="I299" i="1"/>
  <c r="I298" i="1"/>
  <c r="J294" i="1"/>
  <c r="J293" i="1"/>
  <c r="J292" i="1"/>
  <c r="I289" i="1"/>
  <c r="I288" i="1"/>
  <c r="I287" i="1"/>
  <c r="J281" i="1"/>
  <c r="I278" i="1"/>
  <c r="I277" i="1"/>
  <c r="I276" i="1"/>
  <c r="J271" i="1"/>
  <c r="I268" i="1"/>
  <c r="I267" i="1"/>
  <c r="I266" i="1"/>
  <c r="J261" i="1"/>
  <c r="I258" i="1"/>
  <c r="I257" i="1"/>
  <c r="I256" i="1"/>
  <c r="J250" i="1"/>
  <c r="I247" i="1"/>
  <c r="I246" i="1"/>
  <c r="I245" i="1"/>
  <c r="J230" i="1" l="1"/>
  <c r="J229" i="1"/>
  <c r="J228" i="1"/>
  <c r="J241" i="1"/>
  <c r="J240" i="1"/>
  <c r="I237" i="1"/>
  <c r="I236" i="1"/>
  <c r="I235" i="1"/>
  <c r="J231" i="1"/>
  <c r="J227" i="1"/>
  <c r="J226" i="1"/>
  <c r="J225" i="1"/>
  <c r="I222" i="1"/>
  <c r="I221" i="1"/>
  <c r="I220" i="1"/>
  <c r="J216" i="1"/>
  <c r="J215" i="1"/>
  <c r="I212" i="1"/>
  <c r="I211" i="1"/>
  <c r="I210" i="1"/>
  <c r="J206" i="1"/>
  <c r="J205" i="1"/>
  <c r="J204" i="1"/>
  <c r="I201" i="1"/>
  <c r="I200" i="1"/>
  <c r="I199" i="1"/>
  <c r="J100" i="1" l="1"/>
  <c r="J194" i="1"/>
  <c r="J195" i="1"/>
  <c r="I191" i="1"/>
  <c r="I190" i="1"/>
  <c r="I189" i="1"/>
  <c r="J12" i="1"/>
  <c r="J185" i="1" l="1"/>
  <c r="J184" i="1"/>
  <c r="J183" i="1"/>
  <c r="J182" i="1"/>
  <c r="I179" i="1"/>
  <c r="I178" i="1"/>
  <c r="I177" i="1"/>
  <c r="J173" i="1"/>
  <c r="J172" i="1"/>
  <c r="J171" i="1"/>
  <c r="J170" i="1"/>
  <c r="I167" i="1"/>
  <c r="I166" i="1"/>
  <c r="I165" i="1"/>
  <c r="J161" i="1"/>
  <c r="J160" i="1"/>
  <c r="J159" i="1"/>
  <c r="I156" i="1"/>
  <c r="I155" i="1"/>
  <c r="I154" i="1"/>
  <c r="J122" i="1"/>
  <c r="J121" i="1"/>
  <c r="J120" i="1"/>
  <c r="J134" i="1"/>
  <c r="J98" i="1"/>
  <c r="J150" i="1"/>
  <c r="J149" i="1"/>
  <c r="J148" i="1"/>
  <c r="J147" i="1"/>
  <c r="I144" i="1"/>
  <c r="I143" i="1"/>
  <c r="I142" i="1"/>
  <c r="J138" i="1"/>
  <c r="J137" i="1"/>
  <c r="J136" i="1"/>
  <c r="J135" i="1"/>
  <c r="I131" i="1"/>
  <c r="I130" i="1"/>
  <c r="I129" i="1"/>
  <c r="J125" i="1"/>
  <c r="J124" i="1"/>
  <c r="J123" i="1"/>
  <c r="I117" i="1"/>
  <c r="I116" i="1"/>
  <c r="I115" i="1"/>
  <c r="J111" i="1"/>
  <c r="J110" i="1"/>
  <c r="I107" i="1"/>
  <c r="I106" i="1"/>
  <c r="I105" i="1"/>
  <c r="J101" i="1"/>
  <c r="J99" i="1"/>
  <c r="J97" i="1"/>
  <c r="J96" i="1"/>
  <c r="I93" i="1"/>
  <c r="I92" i="1"/>
  <c r="I91" i="1"/>
  <c r="J87" i="1"/>
  <c r="J86" i="1"/>
  <c r="J85" i="1"/>
  <c r="J84" i="1"/>
  <c r="I81" i="1"/>
  <c r="I80" i="1"/>
  <c r="I79" i="1"/>
  <c r="J75" i="1"/>
  <c r="J74" i="1"/>
  <c r="J73" i="1"/>
  <c r="J72" i="1"/>
  <c r="I69" i="1"/>
  <c r="I68" i="1"/>
  <c r="I67" i="1"/>
  <c r="J48" i="1"/>
  <c r="J51" i="1"/>
  <c r="J36" i="1"/>
  <c r="J37" i="1"/>
  <c r="J35" i="1"/>
  <c r="J50" i="1"/>
  <c r="J49" i="1"/>
  <c r="J47" i="1"/>
  <c r="J46" i="1"/>
  <c r="I55" i="1"/>
  <c r="J63" i="1"/>
  <c r="J62" i="1"/>
  <c r="J61" i="1"/>
  <c r="J60" i="1"/>
  <c r="J25" i="1"/>
  <c r="J24" i="1"/>
  <c r="J23" i="1"/>
  <c r="J22" i="1"/>
  <c r="J21" i="1"/>
  <c r="J11" i="1"/>
  <c r="A15" i="1"/>
  <c r="J10" i="1" l="1"/>
  <c r="I57" i="1"/>
  <c r="I56" i="1"/>
  <c r="I43" i="1"/>
  <c r="I42" i="1"/>
  <c r="I41" i="1"/>
  <c r="I32" i="1"/>
  <c r="I31" i="1"/>
  <c r="I30" i="1"/>
  <c r="A29" i="1"/>
  <c r="H15" i="1"/>
  <c r="J26" i="1"/>
  <c r="I18" i="1"/>
  <c r="I17" i="1"/>
  <c r="I16" i="1"/>
  <c r="H3" i="1"/>
  <c r="H29" i="1" l="1"/>
  <c r="A40" i="1"/>
  <c r="A54" i="1" s="1"/>
  <c r="A66" i="1" s="1"/>
  <c r="B227" i="7"/>
  <c r="C226" i="7"/>
  <c r="C224" i="7"/>
  <c r="C223" i="7"/>
  <c r="C222" i="7"/>
  <c r="C221" i="7"/>
  <c r="C220" i="7"/>
  <c r="B218" i="7"/>
  <c r="C217" i="7"/>
  <c r="C215" i="7"/>
  <c r="C214" i="7"/>
  <c r="C213" i="7"/>
  <c r="C212" i="7"/>
  <c r="C211" i="7"/>
  <c r="B209" i="7"/>
  <c r="C206" i="7"/>
  <c r="C205" i="7"/>
  <c r="C204" i="7"/>
  <c r="C203" i="7"/>
  <c r="C202" i="7"/>
  <c r="B200" i="7"/>
  <c r="C199" i="7"/>
  <c r="C197" i="7"/>
  <c r="C196" i="7"/>
  <c r="C195" i="7"/>
  <c r="C194" i="7"/>
  <c r="C193" i="7"/>
  <c r="B191" i="7"/>
  <c r="C184" i="7"/>
  <c r="C185" i="7"/>
  <c r="C186" i="7"/>
  <c r="C187" i="7"/>
  <c r="C188" i="7"/>
  <c r="B182" i="7"/>
  <c r="C179" i="7"/>
  <c r="C178" i="7"/>
  <c r="C177" i="7"/>
  <c r="C176" i="7"/>
  <c r="C175" i="7"/>
  <c r="B173" i="7"/>
  <c r="C172" i="7"/>
  <c r="C170" i="7"/>
  <c r="C169" i="7"/>
  <c r="C168" i="7"/>
  <c r="C167" i="7"/>
  <c r="C166" i="7"/>
  <c r="B164" i="7"/>
  <c r="C163" i="7"/>
  <c r="C161" i="7"/>
  <c r="C160" i="7"/>
  <c r="C159" i="7"/>
  <c r="C158" i="7"/>
  <c r="C157" i="7"/>
  <c r="B155" i="7"/>
  <c r="C154" i="7"/>
  <c r="C152" i="7"/>
  <c r="C151" i="7"/>
  <c r="C150" i="7"/>
  <c r="C148" i="7"/>
  <c r="C140" i="7"/>
  <c r="C141" i="7"/>
  <c r="C142" i="7"/>
  <c r="C143" i="7"/>
  <c r="B146" i="7"/>
  <c r="C139" i="7"/>
  <c r="B137" i="7"/>
  <c r="C136" i="7"/>
  <c r="C134" i="7"/>
  <c r="C133" i="7"/>
  <c r="C132" i="7"/>
  <c r="C131" i="7"/>
  <c r="C130" i="7"/>
  <c r="B128" i="7"/>
  <c r="C125" i="7"/>
  <c r="C124" i="7"/>
  <c r="C123" i="7"/>
  <c r="C122" i="7"/>
  <c r="C121" i="7"/>
  <c r="B119" i="7"/>
  <c r="C118" i="7"/>
  <c r="C116" i="7"/>
  <c r="C115" i="7"/>
  <c r="C114" i="7"/>
  <c r="C113" i="7"/>
  <c r="C112" i="7"/>
  <c r="B110" i="7"/>
  <c r="C109" i="7"/>
  <c r="C107" i="7"/>
  <c r="C106" i="7"/>
  <c r="C105" i="7"/>
  <c r="C104" i="7"/>
  <c r="C103" i="7"/>
  <c r="B101" i="7"/>
  <c r="C95" i="7"/>
  <c r="C96" i="7"/>
  <c r="C97" i="7"/>
  <c r="C98" i="7"/>
  <c r="C99" i="7"/>
  <c r="C94" i="7"/>
  <c r="C91" i="7"/>
  <c r="C89" i="7"/>
  <c r="C88" i="7"/>
  <c r="C87" i="7"/>
  <c r="C86" i="7"/>
  <c r="C85" i="7"/>
  <c r="C82" i="7"/>
  <c r="C80" i="7"/>
  <c r="C79" i="7"/>
  <c r="C78" i="7"/>
  <c r="C76" i="7"/>
  <c r="C73" i="7"/>
  <c r="C71" i="7"/>
  <c r="C70" i="7"/>
  <c r="C69" i="7"/>
  <c r="C68" i="7"/>
  <c r="C67" i="7"/>
  <c r="C62" i="7"/>
  <c r="C61" i="7"/>
  <c r="C60" i="7"/>
  <c r="C59" i="7"/>
  <c r="C58" i="7"/>
  <c r="C50" i="7"/>
  <c r="C51" i="7"/>
  <c r="C52" i="7"/>
  <c r="C53" i="7"/>
  <c r="C54" i="7"/>
  <c r="B56" i="7"/>
  <c r="B65" i="7"/>
  <c r="B74" i="7"/>
  <c r="B83" i="7"/>
  <c r="B92" i="7"/>
  <c r="C49" i="7"/>
  <c r="B11" i="7"/>
  <c r="B20" i="7"/>
  <c r="B29" i="7"/>
  <c r="B38" i="7"/>
  <c r="B47" i="7"/>
  <c r="H66" i="1" l="1"/>
  <c r="A78" i="1"/>
  <c r="H40" i="1"/>
  <c r="H54" i="1"/>
  <c r="C135" i="7"/>
  <c r="C180" i="7"/>
  <c r="C225" i="7"/>
  <c r="C90" i="7"/>
  <c r="C126" i="7"/>
  <c r="C171" i="7"/>
  <c r="C216" i="7"/>
  <c r="C81" i="7"/>
  <c r="C117" i="7"/>
  <c r="C162" i="7"/>
  <c r="C207" i="7"/>
  <c r="C72" i="7"/>
  <c r="C108" i="7"/>
  <c r="C153" i="7"/>
  <c r="C198" i="7"/>
  <c r="C63" i="7"/>
  <c r="C144" i="7"/>
  <c r="C189" i="7"/>
  <c r="H78" i="1" l="1"/>
  <c r="A90" i="1"/>
  <c r="C45" i="7"/>
  <c r="C44" i="7"/>
  <c r="C36" i="7"/>
  <c r="C35" i="7"/>
  <c r="C27" i="7"/>
  <c r="C26" i="7"/>
  <c r="C18" i="7"/>
  <c r="C17" i="7"/>
  <c r="C9" i="7"/>
  <c r="J9" i="1"/>
  <c r="C8" i="7" s="1"/>
  <c r="H90" i="1" l="1"/>
  <c r="A104" i="1"/>
  <c r="C127" i="7"/>
  <c r="C100" i="7"/>
  <c r="B93" i="7"/>
  <c r="C181" i="7"/>
  <c r="C149" i="7"/>
  <c r="C145" i="7"/>
  <c r="B138" i="7"/>
  <c r="C208" i="7"/>
  <c r="C190" i="7"/>
  <c r="B183" i="7"/>
  <c r="C77" i="7"/>
  <c r="C64" i="7"/>
  <c r="C55" i="7"/>
  <c r="B48" i="7"/>
  <c r="C46" i="7"/>
  <c r="C43" i="7"/>
  <c r="C42" i="7"/>
  <c r="C41" i="7"/>
  <c r="C40" i="7"/>
  <c r="C37" i="7"/>
  <c r="C34" i="7"/>
  <c r="C33" i="7"/>
  <c r="C32" i="7"/>
  <c r="C31" i="7"/>
  <c r="C28" i="7"/>
  <c r="C25" i="7"/>
  <c r="C24" i="7"/>
  <c r="C23" i="7"/>
  <c r="C22" i="7"/>
  <c r="C19" i="7"/>
  <c r="C16" i="7"/>
  <c r="C15" i="7"/>
  <c r="C14" i="7"/>
  <c r="C13" i="7"/>
  <c r="C10" i="7"/>
  <c r="I6" i="1"/>
  <c r="C7" i="7" s="1"/>
  <c r="I5" i="1"/>
  <c r="C6" i="7" s="1"/>
  <c r="C5" i="7"/>
  <c r="I4" i="1"/>
  <c r="C4" i="7" s="1"/>
  <c r="B3" i="7"/>
  <c r="B84" i="7"/>
  <c r="B129" i="7"/>
  <c r="B174" i="7"/>
  <c r="B219" i="7"/>
  <c r="H104" i="1" l="1"/>
  <c r="A114" i="1"/>
  <c r="B12" i="7"/>
  <c r="B201" i="7"/>
  <c r="B192" i="7"/>
  <c r="B210" i="7"/>
  <c r="B156" i="7"/>
  <c r="B147" i="7"/>
  <c r="B165" i="7"/>
  <c r="B102" i="7"/>
  <c r="B120" i="7"/>
  <c r="B111" i="7"/>
  <c r="B66" i="7"/>
  <c r="B57" i="7"/>
  <c r="B75" i="7"/>
  <c r="A128" i="1" l="1"/>
  <c r="H114" i="1"/>
  <c r="B21" i="7"/>
  <c r="A141" i="1" l="1"/>
  <c r="H128" i="1"/>
  <c r="B30" i="7"/>
  <c r="H141" i="1" l="1"/>
  <c r="A153" i="1"/>
  <c r="B39" i="7"/>
  <c r="H153" i="1" l="1"/>
  <c r="A164" i="1"/>
  <c r="A176" i="1" l="1"/>
  <c r="H164" i="1"/>
  <c r="H176" i="1" l="1"/>
  <c r="A188" i="1"/>
  <c r="H188" i="1" l="1"/>
  <c r="A198" i="1"/>
  <c r="H198" i="1" l="1"/>
  <c r="A209" i="1"/>
  <c r="H209" i="1" l="1"/>
  <c r="A219" i="1"/>
  <c r="A234" i="1" l="1"/>
  <c r="H219" i="1"/>
  <c r="H234" i="1" l="1"/>
  <c r="A244" i="1"/>
  <c r="A255" i="1" l="1"/>
  <c r="H244" i="1"/>
  <c r="A265" i="1" l="1"/>
  <c r="H255" i="1"/>
  <c r="H265" i="1" l="1"/>
  <c r="A275" i="1"/>
  <c r="A286" i="1" s="1"/>
  <c r="H275" i="1" l="1"/>
  <c r="H286" i="1" l="1"/>
  <c r="A297" i="1"/>
  <c r="H297" i="1" l="1"/>
  <c r="A307" i="1"/>
  <c r="H307" i="1" l="1"/>
  <c r="A323" i="1"/>
  <c r="A337" i="1" s="1"/>
  <c r="H323" i="1" l="1"/>
  <c r="A347" i="1" l="1"/>
  <c r="H337" i="1"/>
  <c r="H347" i="1" l="1"/>
  <c r="A359" i="1"/>
  <c r="H359" i="1" l="1"/>
  <c r="A372" i="1"/>
  <c r="H372" i="1" l="1"/>
  <c r="A381" i="1"/>
  <c r="A395" i="1" s="1"/>
  <c r="H381" i="1" l="1"/>
  <c r="A406" i="1" l="1"/>
  <c r="H395" i="1"/>
  <c r="H406" i="1" l="1"/>
  <c r="A417" i="1"/>
  <c r="H417" i="1" l="1"/>
  <c r="A428" i="1"/>
  <c r="H428" i="1" l="1"/>
  <c r="A439" i="1"/>
  <c r="H439" i="1" l="1"/>
  <c r="A449" i="1"/>
  <c r="H449" i="1" l="1"/>
  <c r="A467" i="1"/>
  <c r="H467" i="1" l="1"/>
  <c r="H485" i="1" l="1"/>
  <c r="A498" i="1"/>
  <c r="H498" i="1" l="1"/>
  <c r="A516" i="1"/>
  <c r="A532" i="1" l="1"/>
  <c r="H516" i="1"/>
  <c r="A549" i="1" l="1"/>
  <c r="H532" i="1"/>
  <c r="A558" i="1" l="1"/>
  <c r="H549" i="1"/>
  <c r="H558" i="1" l="1"/>
</calcChain>
</file>

<file path=xl/sharedStrings.xml><?xml version="1.0" encoding="utf-8"?>
<sst xmlns="http://schemas.openxmlformats.org/spreadsheetml/2006/main" count="445" uniqueCount="302">
  <si>
    <t>&lt;/livres&gt;</t>
  </si>
  <si>
    <t>&lt;?xml version="1.0" encoding="UTF-8"?&gt;</t>
  </si>
  <si>
    <t>&lt;livres&gt;</t>
  </si>
  <si>
    <t>&lt;articles&gt;</t>
  </si>
  <si>
    <t>&lt;/article&gt;</t>
  </si>
  <si>
    <t>&lt;/articles&gt;</t>
  </si>
  <si>
    <t>&lt;images&gt;</t>
  </si>
  <si>
    <t>&lt;/images&gt;</t>
  </si>
  <si>
    <t>Toyota Corolla CE 2006</t>
  </si>
  <si>
    <t>P1080564.jpg</t>
  </si>
  <si>
    <t>P1080565.jpg</t>
  </si>
  <si>
    <t>P1080566.jpg</t>
  </si>
  <si>
    <t>P1080569.jpg</t>
  </si>
  <si>
    <t>Cuisinière électrique Whirlpool GoldSeries</t>
  </si>
  <si>
    <t>P1080683.jpg</t>
  </si>
  <si>
    <t>P1080684.jpg</t>
  </si>
  <si>
    <t>P1080685.jpg</t>
  </si>
  <si>
    <t>P1080686.jpg</t>
  </si>
  <si>
    <t>P1080687.jpg</t>
  </si>
  <si>
    <t>P1080688.jpg</t>
  </si>
  <si>
    <t>P1080588.jpg</t>
  </si>
  <si>
    <t>P1080589.jpg</t>
  </si>
  <si>
    <t>P1080682.jpg</t>
  </si>
  <si>
    <t>Réfrigirateur Frigidaire</t>
  </si>
  <si>
    <t>Laveuse Whirlpool Duet</t>
  </si>
  <si>
    <t>P1080570.jpg</t>
  </si>
  <si>
    <t>P1080571.jpg</t>
  </si>
  <si>
    <t>P1080580.jpg</t>
  </si>
  <si>
    <t>P1080581.jpg</t>
  </si>
  <si>
    <t>P1080582.jpg</t>
  </si>
  <si>
    <t>P1080583.jpg</t>
  </si>
  <si>
    <t>P1080584.jpg</t>
  </si>
  <si>
    <t>P1080585.jpg</t>
  </si>
  <si>
    <t>P1080586.jpg</t>
  </si>
  <si>
    <t>P1080587.jpg</t>
  </si>
  <si>
    <t>Sécheuse Whirlpool Duet</t>
  </si>
  <si>
    <t>Table de chevet</t>
  </si>
  <si>
    <t>P1080646.jpg</t>
  </si>
  <si>
    <t>P1080647.jpg</t>
  </si>
  <si>
    <t>P1080648.jpg</t>
  </si>
  <si>
    <t>P1080649.jpg</t>
  </si>
  <si>
    <t>Desserte cuisine</t>
  </si>
  <si>
    <t>P1080655.jpg</t>
  </si>
  <si>
    <t>P1080656.jpg</t>
  </si>
  <si>
    <t>P1080657.jpg</t>
  </si>
  <si>
    <t>P1080658.jpg</t>
  </si>
  <si>
    <t>P1080654.jpg</t>
  </si>
  <si>
    <t>P1080642.jpg</t>
  </si>
  <si>
    <t>P1080644.jpg</t>
  </si>
  <si>
    <t>Table basse</t>
  </si>
  <si>
    <t>Fer et planche à repasser</t>
  </si>
  <si>
    <t>Meuble télévision</t>
  </si>
  <si>
    <t>P1080667.jpg</t>
  </si>
  <si>
    <t>P1080668.jpg</t>
  </si>
  <si>
    <t>P1080689.jpg</t>
  </si>
  <si>
    <t>P1080690.jpg</t>
  </si>
  <si>
    <t>P1080691.jpg</t>
  </si>
  <si>
    <t>P1080663.jpg</t>
  </si>
  <si>
    <t>P1080664.jpg</t>
  </si>
  <si>
    <t>P1080665.jpg</t>
  </si>
  <si>
    <t>P1080666.jpg</t>
  </si>
  <si>
    <t>P1080680.jpg</t>
  </si>
  <si>
    <t>P1080681.jpg</t>
  </si>
  <si>
    <t>Cafetière électrique</t>
  </si>
  <si>
    <t>P1080659.jpg</t>
  </si>
  <si>
    <t>P1080660.jpg</t>
  </si>
  <si>
    <t>P1080661.jpg</t>
  </si>
  <si>
    <t>P1080662.jpg</t>
  </si>
  <si>
    <t>Ventilateur sur pied</t>
  </si>
  <si>
    <t>Ventilateur tour</t>
  </si>
  <si>
    <t>Ventilateur de fenêtre</t>
  </si>
  <si>
    <t>P1080669.jpg</t>
  </si>
  <si>
    <t>P1080670.jpg</t>
  </si>
  <si>
    <t>P1080671.jpg</t>
  </si>
  <si>
    <t>P1080672.jpg</t>
  </si>
  <si>
    <t>P1080673.jpg</t>
  </si>
  <si>
    <t>P1080674.jpg</t>
  </si>
  <si>
    <t>P1080675.jpg</t>
  </si>
  <si>
    <t>P1080676.jpg</t>
  </si>
  <si>
    <t>P1080677.jpg</t>
  </si>
  <si>
    <t>P1080678.jpg</t>
  </si>
  <si>
    <t>P1080679.jpg</t>
  </si>
  <si>
    <t>P1080692.jpg</t>
  </si>
  <si>
    <t>P1080693.jpg</t>
  </si>
  <si>
    <t>P1080694.jpg</t>
  </si>
  <si>
    <t>P1080695.jpg</t>
  </si>
  <si>
    <t>P1080696.jpg</t>
  </si>
  <si>
    <t>P1080697.jpg</t>
  </si>
  <si>
    <t>P1080698.jpg</t>
  </si>
  <si>
    <t>P1080714.jpg</t>
  </si>
  <si>
    <t>P1080715.jpg</t>
  </si>
  <si>
    <t>P1080717.jpg</t>
  </si>
  <si>
    <t>Lampe</t>
  </si>
  <si>
    <t>P1080711.jpg</t>
  </si>
  <si>
    <t>P1080712.jpg</t>
  </si>
  <si>
    <t>P1080700.jpg</t>
  </si>
  <si>
    <t>P1080701.jpg</t>
  </si>
  <si>
    <t>P1080703.jpg</t>
  </si>
  <si>
    <t>P1080704.jpg</t>
  </si>
  <si>
    <t>P1080705.jpg</t>
  </si>
  <si>
    <t>P1080706.jpg</t>
  </si>
  <si>
    <t>P1080707.jpg</t>
  </si>
  <si>
    <t>P1080708.jpg</t>
  </si>
  <si>
    <t>P1080709.jpg</t>
  </si>
  <si>
    <t>Aspirateur</t>
  </si>
  <si>
    <t>Bibliothèque</t>
  </si>
  <si>
    <t>Bureau</t>
  </si>
  <si>
    <t>Commode</t>
  </si>
  <si>
    <t>Futon</t>
  </si>
  <si>
    <t>Lit bébé</t>
  </si>
  <si>
    <t>Batteur électrique</t>
  </si>
  <si>
    <t>Meuble micro-onde</t>
  </si>
  <si>
    <t>Appareil à raclette-grill</t>
  </si>
  <si>
    <t>- Fourni avec 3 ampoules basse consommation
- Hauteur : 6 pieds</t>
  </si>
  <si>
    <t>- Marque Cuisinart Smart Stick
- 2 vitesses
- Fouet, hachoir et broyeur</t>
  </si>
  <si>
    <t>Mixeur - mélangeur à main</t>
  </si>
  <si>
    <t>Cafetière individuelle</t>
  </si>
  <si>
    <t>A_venir.png</t>
  </si>
  <si>
    <t>Causeuse</t>
  </si>
  <si>
    <t>Micro-ondes</t>
  </si>
  <si>
    <t>Lecteur CD - Radio</t>
  </si>
  <si>
    <t>Lecteur DVD LG</t>
  </si>
  <si>
    <t>Imprimante e-tout-en-un HP 3510</t>
  </si>
  <si>
    <t>- 79 000 kilomètres
- Boite manuelle
- Air climatisée
- Bougies changées automne 2017
- Batterie changée hivers 2017
- Fournie avec pneus d&amp;apos;été et d&amp;apos;hivers
- Changement d&amp;apos;huile et contrôle général du véhicule tous les ans
- Roule peu l&amp;apos;hivers
- Aucun accident, même mineur
- Nous sommes le 2e propriétaire
- Acheté à un concessionnaire Toyota
- Utilisée principalement pour les déplacements de loisirs, pas pour aller travailler</t>
  </si>
  <si>
    <t>- Four de 5.3 pieds cube
- Four en acier inoxydable
- Acheté neuf en juillet 2013
- Jamais déménagé
- Vente pour cause de départ à l&amp;apos;étranger
Fonctions : 
- Horloge
- Minuterie
- Programmation
- Cuisson par convection
- Grill
- Maintien au chaud
- Préchauffage rapide
- Auto-nettoyage
- Économie d&amp;apos;energie
- Etc.
Fournit avec guide d&amp;apos;instructions
*** Disponible à partir du 1er juin ! ***
Prix d&amp;apos;achat : 1400$</t>
  </si>
  <si>
    <t xml:space="preserve">
Réfrigirateur Frigidaire
*** Disponible à partir du 1er juin ! ***
- Acheté neuf en juillet 2013
- Jamais déménagé
- Vente pour cause de départ à l&amp;apos;étranger
- Energy Star
- 2 portes (réfrigérateur et congélateur)
- Contenance de 20.3 pieds cube
- Réfrigérateur en haut
- Congélateur en bas
- Portes réversibles
- Couleur : Gris métallique
- Dimensions : 30&amp;apos;&amp;apos; W x 33-7/8&amp;apos;&amp;apos; D x 67-3/4&amp;apos;&amp;apos; H
Fournit avec guide d&amp;apos;instructions
*** Disponible à partir du 1er juin ! ***
Prix d&amp;apos;achat : 950$</t>
  </si>
  <si>
    <t>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d&amp;apos;instructions
*** Disponible à partir du 1er juin ! ***
Prix d&amp;apos;achat : 850$</t>
  </si>
  <si>
    <t>*** Disponible à partir du 1er juin ! ***
- Chargement frontal
- Capacité de 6.7 pieds cube
- Couleur : blanc
- Energy Star
- Superposable avec la laveuse
Dimensions : Depth 29.0 in, Height 36.0 in, Width 27.0 in
*** Disponible à partir du 1er juin ! ***
Prix d&amp;apos;achat : 650$</t>
  </si>
  <si>
    <t>- Avec tiroir
- Dimensions (largeur x profondeur x hauteur) : 13&amp;apos;&amp;apos; x 15&amp;apos;&amp;apos; x 27&amp;apos;&amp;apos;</t>
  </si>
  <si>
    <t>- Surface en granite
- Tirroir
- Panier métallique
- Plateau de service amovible
- Monté sur roulettes
Prix d&amp;apos;achat : 149$</t>
  </si>
  <si>
    <t>- Monté sur roulettes
- Dimensions (Largeur, profondeur, hauteur) : 25&amp;apos;&amp;apos; x 16&amp;apos;&amp;apos; x 33&amp;apos;&amp;apos;</t>
  </si>
  <si>
    <t>- Largeur : 30&amp;apos;&amp;apos; x 30&amp;apos;&amp;apos;
- Hauteur : 15&amp;apos;&amp;apos;</t>
  </si>
  <si>
    <t>- Fer à repasser vapeur Kenmore
- Fourni dans sa boite d&amp;apos;origine avec livret d&amp;apos;instructions
- Planche à repasser pliable avec housse</t>
  </si>
  <si>
    <t>- 3 espaces de rangement avec tablette
- 2 portes coulissantes
- Dimensions (largeur x profondeur x Hauteur) : 59&amp;apos;&amp;apos; x 19&amp;apos;&amp;apos; x 19&amp;apos;&amp;apos;</t>
  </si>
  <si>
    <t>- Marque Cuisinart
- Horloge
- Programmable 
- Fontion néttoyage
- Fonction de maintien au chaud
- Fournit avec livret d&amp;apos;instruction</t>
  </si>
  <si>
    <t>- Marque Intertek
- Hélice de 15&amp;apos;&amp;apos;
- 3 vitesses
- Fonction d&amp;apos;oscillation
- Hauteur réglable entre 32&amp;apos;&amp;apos; et 38&amp;apos;&amp;apos;</t>
  </si>
  <si>
    <t>- Marque Noma
- Thermostat électronique réglable
- 3 vitesses
- 3 mode de ventilation (entrée d&amp;apos;air, sortie d&amp;apos;air ou changement d&amp;apos;air)
- Télécommande
- Rallonges pour s&amp;apos;adapter aux différents types de fenêtre
- Pieds amovible pour poser au sol
- Founi avec livret d&amp;apos;instructions</t>
  </si>
  <si>
    <t>- Marque Duracraft
- 3 vitesses
- Fonction d&amp;apos;oscillation
- Hauteur 31&amp;apos;&amp;apos;</t>
  </si>
  <si>
    <t>Table d&amp;apos;extérieur</t>
  </si>
  <si>
    <t>- Dessus en verre
- Diamètre : 24&amp;apos;&amp;apos;
- Hauteur : 28&amp;apos;&amp;apos;</t>
  </si>
  <si>
    <t>- Marque Swissmar Matterhorn
- Peu servi, très bon état
- 8 poêles à revêtement antiadhésif 
- 8 spatules resistantes à la chaleur
- Le dessus est un grill avec revêtement antiadhésif
- Fourni dans sa boite d&amp;apos;origine avec le livret d&amp;apos;instruction</t>
  </si>
  <si>
    <t>- Marque Black$Decker
- Très bon état, peu servi
- Tasse de voyage en acier inoxydable
- Avec filtre permanent amovible
- Fourni dans sa boite d&amp;apos;origine avec livret d&amp;apos;instructions</t>
  </si>
  <si>
    <t>Robot Culinaire Black&amp;amp;Decker</t>
  </si>
  <si>
    <t>- Marque Kenmore
- Sans sac
- Filtre lavable
- 2 accessoires
- Fourni avec livret d&amp;apos;instructions</t>
  </si>
  <si>
    <t>- 200 Watts
- 5 vitesses + touche turbo
- Fouets et crochets pétrisseur en acier inoxidable
- Fourni dans sa boite d&amp;apos;origine avec livret d&amp;apos;instructions</t>
  </si>
  <si>
    <t>- Robot culinaire de 2.4 litres (10 tasses)
- Mélangeur de  1.4 litre (6 tasses)
- Lames en acier inoxidable
- Pieds ventouses
- Moteur de 600W
- 2 vitesses + bouton à impulsion
- Fourni dans sa boite d&amp;apos;origine avec livret d&amp;apos;instructions</t>
  </si>
  <si>
    <t>- Très bon état, pas de trace d&amp;apos;usure
- Maison sans fumée, ni animaux</t>
  </si>
  <si>
    <t>- 1.1 pieds cube
- 1000 Watts
- Auto et Quick Defrost
- Auto Cook
- Protection enfant
- Horloge
- Fourni dans sa boite d&amp;apos;origine avec livret d&amp;apos;instructions
- Energy Savin</t>
  </si>
  <si>
    <t>- Prise USB
- Télécommande
- Très bon état, peu servi
- Fourni dans sa boite d&amp;apos;origine avec livret d&amp;apos;instructions</t>
  </si>
  <si>
    <t>P1080732.jpg</t>
  </si>
  <si>
    <t>P1080733.jpg</t>
  </si>
  <si>
    <t>P1080734.jpg</t>
  </si>
  <si>
    <t>P1080735.jpg</t>
  </si>
  <si>
    <t>P1080730.jpg</t>
  </si>
  <si>
    <t>P1080731.jpg</t>
  </si>
  <si>
    <t>P1080736.jpg</t>
  </si>
  <si>
    <t>P1080737.jpg</t>
  </si>
  <si>
    <t>P1080738.jpg</t>
  </si>
  <si>
    <t>P1080720.jpg</t>
  </si>
  <si>
    <t>P1080721.jpg</t>
  </si>
  <si>
    <t>P1080722.jpg</t>
  </si>
  <si>
    <t>P1080723.jpg</t>
  </si>
  <si>
    <t>P1080724.jpg</t>
  </si>
  <si>
    <t>P1080725.jpg</t>
  </si>
  <si>
    <t>P1080726.jpg</t>
  </si>
  <si>
    <t>P1080727.jpg</t>
  </si>
  <si>
    <t>P1080741.jpg</t>
  </si>
  <si>
    <t>P1080742.jpg</t>
  </si>
  <si>
    <t>P1080743.jpg</t>
  </si>
  <si>
    <t>Meuble - Rangements pour jouets</t>
  </si>
  <si>
    <t>Tête de lit + Sommier + Cadre de lit</t>
  </si>
  <si>
    <t>P1080797.jpg</t>
  </si>
  <si>
    <t>P1080799.jpg</t>
  </si>
  <si>
    <t>P1080800.jpg</t>
  </si>
  <si>
    <t>P1080789.jpg</t>
  </si>
  <si>
    <t>P1080790.jpg</t>
  </si>
  <si>
    <t>P1080791.jpg</t>
  </si>
  <si>
    <t>P1080792.jpg</t>
  </si>
  <si>
    <t>P1080793.jpg</t>
  </si>
  <si>
    <t>P1080794.jpg</t>
  </si>
  <si>
    <t>P1080768.jpg</t>
  </si>
  <si>
    <t>P1080772.jpg</t>
  </si>
  <si>
    <t>P1080775.jpg</t>
  </si>
  <si>
    <t>P1080776.jpg</t>
  </si>
  <si>
    <t>P1080779.jpg</t>
  </si>
  <si>
    <t>P1080780.jpg</t>
  </si>
  <si>
    <t>P1080781.jpg</t>
  </si>
  <si>
    <t>P1080782.jpg</t>
  </si>
  <si>
    <t>P1080777.jpg</t>
  </si>
  <si>
    <t>P1080778.jpg</t>
  </si>
  <si>
    <t>P1080801.jpg</t>
  </si>
  <si>
    <t>P1080802.jpg</t>
  </si>
  <si>
    <t>P1080803.jpg</t>
  </si>
  <si>
    <t>P1080809.jpg</t>
  </si>
  <si>
    <t>P1080795.jpg</t>
  </si>
  <si>
    <t>P1080796.jpg</t>
  </si>
  <si>
    <t>P1080786.jpg</t>
  </si>
  <si>
    <t>P1080788.jpg</t>
  </si>
  <si>
    <t>P1080783.jpg</t>
  </si>
  <si>
    <t>P1080784.jpg</t>
  </si>
  <si>
    <t>P1080785.jpg</t>
  </si>
  <si>
    <t xml:space="preserve">- Lecteur CD
- Radio AM/FM/FM stéréo
- Fonctionne aussi avec des piles
</t>
  </si>
  <si>
    <t>Meuble à chaussures</t>
  </si>
  <si>
    <t>P1080813.jpg</t>
  </si>
  <si>
    <t>P1080814.jpg</t>
  </si>
  <si>
    <t>P1080815.jpg</t>
  </si>
  <si>
    <t>P1080816.jpg</t>
  </si>
  <si>
    <t>P1080817.jpg</t>
  </si>
  <si>
    <t>P1080819.jpg</t>
  </si>
  <si>
    <t>- Matelas épais et confortable
- Maison sans fumée, ni animaux</t>
  </si>
  <si>
    <t>- Sans fil
- Numérisation
- Copie
- Impression depuis téléphone intelligent et tablette
- Fourni dans sa boite d&amp;apos;origine avec livret d&amp;apos;instructions et CD d&amp;apos;installation
- Cartouches #61 (La couleur presque vide ; la noir est à moitié pleine)</t>
  </si>
  <si>
    <t>- Tête de lit avec rangements
- Sommier en bois recouvert d&amp;apos;une toile
- Cadre de lit sur roulettes avec frein
- Taille Queen</t>
  </si>
  <si>
    <t>- 5 plateaux dont 3 à hauteur réglable 
- Dimensions (largeur x profondeur x hauteur) : 30&amp;apos;&amp;apos; x 12&amp;apos;&amp;apos; x 72&amp;apos;&amp;apos;</t>
  </si>
  <si>
    <t>- 5 tiroirs (2 petits et 3 grands)
- Dimensions (largeur x profondeur x hauteur) : 32&amp;apos;&amp;apos; x 18&amp;apos;&amp;apos; x 44.5&amp;apos;&amp;apos;</t>
  </si>
  <si>
    <t>- 2 grands tirroirs
- 3 espaces de rangement pour chaussures
- Dimensions (largeur x profondeur x hauteur) : 34&amp;apos;&amp;apos; x 16.5&amp;apos;&amp;apos; x 46&amp;apos;&amp;apos;</t>
  </si>
  <si>
    <t>- 6 grands titoir et 3 petits
- Dimensions (largeur x profondeur x hauteur) : 60&amp;quot; x 17.5&amp;quot; x 31.5&amp;quot;</t>
  </si>
  <si>
    <t>- Founi avec 5 grands bacs et 2 petits 
- Un des bacs rouges est brisé
- Dimensions (largeur x profondeur x hauteur) : 39&amp;apos;&amp;apos; x 17.5&amp;apos;&amp;apos; x 37&amp;apos;&amp;apos;</t>
  </si>
  <si>
    <t>- 1 Tiroir
- Emplacement pour ordinateur
- Table retractable
- Espaces de rangement dont 1 avec porte
- Il manque un petit morceau à l&amp;apos;arrière (très peu visible)
- Dimensions (largeur x profondeur x hauteur) : 48&amp;apos;&amp;apos; x 24&amp;apos;&amp;apos; x 58.5&amp;apos;&amp;apos;</t>
  </si>
  <si>
    <t>Vêtements bébé 0-3 mois</t>
  </si>
  <si>
    <t>P1080161b.jpg</t>
  </si>
  <si>
    <t>P1080318b.jpg</t>
  </si>
  <si>
    <t>P1080326b.jpg</t>
  </si>
  <si>
    <t>P1080344b.jpg</t>
  </si>
  <si>
    <t>P1080345.JPG</t>
  </si>
  <si>
    <t>P1080351.JPG</t>
  </si>
  <si>
    <t>Pooh_1.JPG</t>
  </si>
  <si>
    <t>Vêtements bébé 6 mois</t>
  </si>
  <si>
    <t>HEnsemble_Dumbo.jpg</t>
  </si>
  <si>
    <t>O6-12mois.jpg</t>
  </si>
  <si>
    <t>ODormeuse_6-12mois_1.jpg</t>
  </si>
  <si>
    <t>P1080355.jpg</t>
  </si>
  <si>
    <t>P1080358.jpg</t>
  </si>
  <si>
    <t>P1080364.jpg</t>
  </si>
  <si>
    <t>P1080387.jpg</t>
  </si>
  <si>
    <t>P1080390.jpg</t>
  </si>
  <si>
    <t>Salopette_1.jpg</t>
  </si>
  <si>
    <t>WBonnet_CacheCou.jpg</t>
  </si>
  <si>
    <t>Vêtements bébé 9 mois</t>
  </si>
  <si>
    <t>Lot de 11 morceaux
- 4 pyjamas avec fermeture éclair
- 3 pyjamas avec fermeture à boutons-pression
- 1 Salopette 
- 2 pyjamas en polaire
- 1 chandail
(Lot non séparable)
(Maison sans animaux et sans fumée)</t>
  </si>
  <si>
    <t>P1080368.jpg</t>
  </si>
  <si>
    <t>P1080371.jpg</t>
  </si>
  <si>
    <t>P1080372.jpg</t>
  </si>
  <si>
    <t>P1080373.jpg</t>
  </si>
  <si>
    <t>P1080386.jpg</t>
  </si>
  <si>
    <t>HP1080379b.jpg</t>
  </si>
  <si>
    <t>HP1080380.jpg</t>
  </si>
  <si>
    <t>P1080374.jpg</t>
  </si>
  <si>
    <t>P1080376.jpg</t>
  </si>
  <si>
    <t>P1080377.jpg</t>
  </si>
  <si>
    <t>P1080380b.jpg</t>
  </si>
  <si>
    <t>P1080389.jpg</t>
  </si>
  <si>
    <t>P31080360.jpg</t>
  </si>
  <si>
    <t>QDivers.jpg</t>
  </si>
  <si>
    <t>WP1080074.jpg</t>
  </si>
  <si>
    <t>Vêtements bébé 12 mois</t>
  </si>
  <si>
    <t>Lot 30 morceaux
- 2 Saloppettes
- 9 pyjamas à pressions
- 5 chandails 
- 1 ensemble pantalon + chemise manches longues
- 1 ensemble pantalon + chemise manches courtes
- 1 ensemble pantalon + chandail + chemise manches courtes
- 1 body rayé noir et blanc
- 1 chandail Regate
- 1 pull en laine rouge
- 1 chapeau
- 2 bavoirs lavables
- 1 paire de bottes
(Lot non séparable)
(Maison sans animaux et sans fumée)</t>
  </si>
  <si>
    <t>Vêtement bébé 18 mois</t>
  </si>
  <si>
    <t>Lot de 40 morceaux
- 6 pyjamas
- 5 body (2 manches longues, 3 manches courtes)
- 4 tee-shirt manches longues
- 4 tee-shirt manches courtes
- 2 chemises
- 1 pantalon
- 1 salopette
- 1 pull
- 1 pull sans manche
- 1 costume : chemise + pantalon + gilet sans manche + cravate
- 1 tee-shirt sans manche
- 2 shorts
- 1 chapaeu de soleil
- 7 paires de chaussettes
(Lot non séparable)
(Maison sans animaux et sans fumée)</t>
  </si>
  <si>
    <t>P1080906.jpg</t>
  </si>
  <si>
    <t>P1080907.jpg</t>
  </si>
  <si>
    <t>P1080909.jpg</t>
  </si>
  <si>
    <t>P1080911.jpg</t>
  </si>
  <si>
    <t>P1080913.jpg</t>
  </si>
  <si>
    <t>P1080915.jpg</t>
  </si>
  <si>
    <t>P1080916.jpg</t>
  </si>
  <si>
    <t>P1080919.jpg</t>
  </si>
  <si>
    <t>Vêtement bébé 24 mois</t>
  </si>
  <si>
    <t>Lot de 31 morceaux
- 5 body à manches courtes
- 3 body à manches longues
- 5 tee-shirt manches longues
- 1 ensemle pantalon + tee shirt à manches longues
- 2 chemises
- 1 jean
- 1 ensemble chandail + pantalon
- 1 chandail
- 1 pantalon
- 1 gilet manches longues avec capuche détachable
- 1 short
- 1 chapeau de soleil
- 6 paires de chaussettes
(Lot non séparable)
(Maison sans animaux et sans fumée)</t>
  </si>
  <si>
    <t>P1080920.jpg</t>
  </si>
  <si>
    <t>P1080923.jpg</t>
  </si>
  <si>
    <t>P1080925.jpg</t>
  </si>
  <si>
    <t>P1080927.jpg</t>
  </si>
  <si>
    <t>P1080928.jpg</t>
  </si>
  <si>
    <t>P1080931.jpg</t>
  </si>
  <si>
    <t>P1080932.jpg</t>
  </si>
  <si>
    <t>P1080934.jpg</t>
  </si>
  <si>
    <t>P1080935.jpg</t>
  </si>
  <si>
    <t>Couches bébé</t>
  </si>
  <si>
    <t>- 110 couches taille 4 (10-17kg)
- 9 couches piscine taille grand (14kg+)</t>
  </si>
  <si>
    <t>P1080938.jpg</t>
  </si>
  <si>
    <t>Tire-lait</t>
  </si>
  <si>
    <t>P1080856.jpg</t>
  </si>
  <si>
    <t>- 1 tire-lait
- 2 biberons en plastique avec bouchon + 1 tétine
- 1 biberon en verre avec tétine
- 1 porte biberon
- Livret d&amp;apos;instruction</t>
  </si>
  <si>
    <t>Radiateur électrique</t>
  </si>
  <si>
    <t>- Puissance : 1500W
- Thermostat
- 2 positions de chauffage
- Fonction ventilateur uniquement
- Interrupteur de sécurité</t>
  </si>
  <si>
    <t>P1080852.jpg</t>
  </si>
  <si>
    <t>P1080853.jpg</t>
  </si>
  <si>
    <t>O01080367b.jpg</t>
  </si>
  <si>
    <t>O1080338.JPG</t>
  </si>
  <si>
    <t>P102mois.JPG</t>
  </si>
  <si>
    <t>Contenant pour aliments bébé</t>
  </si>
  <si>
    <t>- 23 contenants blanc avec fermeture
- 3 bacs de support pour contenant blanc
- 7 contenants de couleur avec couvercles
- 1 contenant à boisson avec tétine
- 1 contenant à boisson avec systeme anti-fuite
- 2 tétines pour biberon</t>
  </si>
  <si>
    <t>P1080969.jpg</t>
  </si>
  <si>
    <t>Trousse de sécurité enfant</t>
  </si>
  <si>
    <t>P1080965.jpg</t>
  </si>
  <si>
    <t>P1080966.jpg</t>
  </si>
  <si>
    <t>P1080967.jpg</t>
  </si>
  <si>
    <t>P1080968.jpg</t>
  </si>
  <si>
    <t>- 1 protège matelas 
- 1 drap-housse
- 1 couverture
- 1 matelas en très bon état (aucune tâche)
- Très solide
- Possibilité de modifier le lit pour l&amp;apos;ouvrir à l&amp;apos;avant (Barre d&amp;apos;adaptation fournie)
- 6 positions possibles pour la hauteur du matelas
- 1 Guide d&amp;apos;instructions
Maison sans fumée, ni animaux</t>
  </si>
  <si>
    <t>Lot de 26 morceaux
- 1 paire de chaudes maitaines bleues 
- 1 bonnet + 2 paires de mitaines
- 1 bonnet ourson noir
- 1 Couverture-sac à emmailloter (neuve, jamais servi)
- 1 Ensemble 3 pièces : tee-shirt manche longues + pull manches courtes en laine + pantalon
- 1 Ensemble pyjama 2 pièces
- 1 Ensemble 5 pièces : bonnet + body + pantalon + mitaines + chaussons (Winnie l&amp;apos;ourson)
- 1 Ensemble Body + bonnet + chaussons
- 1 Ensemble haut + pantalon (orange)
- 1 Ensemble haut + pantalon (orange et bleu)
- 1 Habit d&amp;apos;extérieur en polaire (vert)
- 1 Habit d&amp;apos;extérieur en polaire (blanc)
- 1 matelas à langer avec housse et ceinture (1 matelas à langer de voyage)
(Lot non séparable)
(Maison sans animaux et sans fumée)</t>
  </si>
  <si>
    <t>Vêtements bébé 6 mois - 20$
Lot de 20 morceaux
- 1 Ensemble body, haut et bas Dumbo
- 1 Ensemble haut + bas (ourson)
- 5 pyjamas
- 1 Ensemble haut + bas (chien)
- 1 Pantalon
- 1 Chandail père Noël
- 1 Body bleu
- 2 salopettes noires
- 1 Ensemble bonnet et cache cou
- 1 Grande dormeuse, utilisable jusqu&amp;apos;à 12 mois
(Lot non séparable)
(Maison sans animaux et sans fumée)</t>
  </si>
  <si>
    <t>- 1 Verrou d&amp;apos;armoire en plastique
- 1 Verrou d&amp;apos;armoire en caouthcouc
- 3 Couvres poignet de porte
- 7 verrous à ressort
- 10 loquets à prise large
- 9 protecteurs de prise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</si>
</sst>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/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 applyAlignment="1"/>
    <xf numFmtId="0" fontId="0" fillId="2" borderId="0" xfId="0" applyFill="1" applyAlignment="1"/>
    <xf numFmtId="0" fontId="0" fillId="3" borderId="0" xfId="0" applyFill="1" applyAlignment="1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47625</xdr:rowOff>
    </xdr:from>
    <xdr:to>
      <xdr:col>5</xdr:col>
      <xdr:colOff>628650</xdr:colOff>
      <xdr:row>3</xdr:row>
      <xdr:rowOff>28575</xdr:rowOff>
    </xdr:to>
    <xdr:sp macro="[0]!Feuil1.ExportToXml" textlink="">
      <xdr:nvSpPr>
        <xdr:cNvPr id="2" name="Rectangle à coins arrondis 1"/>
        <xdr:cNvSpPr/>
      </xdr:nvSpPr>
      <xdr:spPr>
        <a:xfrm>
          <a:off x="2743200" y="47625"/>
          <a:ext cx="16954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XML it!</a:t>
          </a:r>
        </a:p>
      </xdr:txBody>
    </xdr:sp>
    <xdr:clientData/>
  </xdr:twoCellAnchor>
  <xdr:twoCellAnchor editAs="oneCell">
    <xdr:from>
      <xdr:col>6</xdr:col>
      <xdr:colOff>685800</xdr:colOff>
      <xdr:row>586</xdr:row>
      <xdr:rowOff>76200</xdr:rowOff>
    </xdr:from>
    <xdr:to>
      <xdr:col>9</xdr:col>
      <xdr:colOff>95250</xdr:colOff>
      <xdr:row>589</xdr:row>
      <xdr:rowOff>57150</xdr:rowOff>
    </xdr:to>
    <xdr:sp macro="[0]!Feuil1.ExportToXml" textlink="">
      <xdr:nvSpPr>
        <xdr:cNvPr id="3" name="Rectangle à coins arrondis 2"/>
        <xdr:cNvSpPr/>
      </xdr:nvSpPr>
      <xdr:spPr>
        <a:xfrm>
          <a:off x="5257800" y="40081200"/>
          <a:ext cx="16954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XML it!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586"/>
  <sheetViews>
    <sheetView tabSelected="1" workbookViewId="0">
      <selection activeCell="E110" sqref="E110"/>
    </sheetView>
  </sheetViews>
  <sheetFormatPr baseColWidth="10" defaultRowHeight="15" customHeight="1" x14ac:dyDescent="0.25"/>
  <cols>
    <col min="1" max="16384" width="11.42578125" style="1"/>
  </cols>
  <sheetData>
    <row r="1" spans="1:10" ht="15" customHeight="1" x14ac:dyDescent="0.25">
      <c r="G1" s="2" t="s">
        <v>1</v>
      </c>
      <c r="H1" s="3"/>
      <c r="I1" s="3"/>
      <c r="J1" s="4"/>
    </row>
    <row r="2" spans="1:10" ht="15" customHeight="1" x14ac:dyDescent="0.25">
      <c r="G2" s="5" t="s">
        <v>3</v>
      </c>
      <c r="H2" s="6"/>
      <c r="I2" s="6"/>
      <c r="J2" s="7"/>
    </row>
    <row r="3" spans="1:10" ht="15" customHeight="1" x14ac:dyDescent="0.25">
      <c r="A3" s="16">
        <v>0</v>
      </c>
      <c r="G3" s="5"/>
      <c r="H3" s="6" t="str">
        <f>CONCATENATE("&lt;article id=""",A3,"""&gt;")</f>
        <v>&lt;article id="0"&gt;</v>
      </c>
      <c r="I3" s="6"/>
      <c r="J3" s="7"/>
    </row>
    <row r="4" spans="1:10" ht="15" customHeight="1" x14ac:dyDescent="0.25">
      <c r="A4" s="13" t="s">
        <v>8</v>
      </c>
      <c r="G4" s="5"/>
      <c r="H4" s="6"/>
      <c r="I4" s="6" t="str">
        <f>CONCATENATE("&lt;titre&gt;",TRIM(A4),"&lt;/titre&gt;")</f>
        <v>&lt;titre&gt;Toyota Corolla CE 2006&lt;/titre&gt;</v>
      </c>
      <c r="J4" s="7"/>
    </row>
    <row r="5" spans="1:10" ht="15" customHeight="1" x14ac:dyDescent="0.25">
      <c r="A5" s="12" t="s">
        <v>123</v>
      </c>
      <c r="G5" s="5"/>
      <c r="H5" s="6"/>
      <c r="I5" s="6" t="str">
        <f>CONCATENATE("&lt;desc&gt;",TRIM(A5),"&lt;/desc&gt;")</f>
        <v>&lt;desc&gt;- 79 000 kilomètres
- Boite manuelle
- Air climatisée
- Bougies changées automne 2017
- Batterie changée hivers 2017
- Fournie avec pneus d&amp;apos;été et d&amp;apos;hivers
- Changement d&amp;apos;huile et contrôle général du véhicule tous les ans
- Roule peu l&amp;apos;hivers
- Aucun accident, même mineur
- Nous sommes le 2e propriétaire
- Acheté à un concessionnaire Toyota
- Utilisée principalement pour les déplacements de loisirs, pas pour aller travailler&lt;/desc&gt;</v>
      </c>
      <c r="J5" s="7"/>
    </row>
    <row r="6" spans="1:10" ht="15" customHeight="1" x14ac:dyDescent="0.25">
      <c r="A6" s="17">
        <v>3750</v>
      </c>
      <c r="G6" s="5"/>
      <c r="H6" s="6"/>
      <c r="I6" s="6" t="str">
        <f>CONCATENATE("&lt;prix&gt;",TRIM(A6),"&lt;/prix&gt;")</f>
        <v>&lt;prix&gt;3750&lt;/prix&gt;</v>
      </c>
      <c r="J6" s="7"/>
    </row>
    <row r="7" spans="1:10" ht="15" customHeight="1" x14ac:dyDescent="0.25">
      <c r="A7" s="1">
        <v>1</v>
      </c>
      <c r="G7" s="5"/>
      <c r="H7" s="6"/>
      <c r="I7" s="6" t="str">
        <f>CONCATENATE("&lt;vendu&gt;",TRIM(A7),"&lt;/vendu&gt;")</f>
        <v>&lt;vendu&gt;1&lt;/vendu&gt;</v>
      </c>
      <c r="J7" s="7"/>
    </row>
    <row r="8" spans="1:10" ht="15" customHeight="1" x14ac:dyDescent="0.25">
      <c r="A8" s="15"/>
      <c r="G8" s="5"/>
      <c r="H8" s="6"/>
      <c r="I8" s="6" t="s">
        <v>6</v>
      </c>
      <c r="J8" s="7"/>
    </row>
    <row r="9" spans="1:10" ht="15" customHeight="1" x14ac:dyDescent="0.25">
      <c r="A9" s="1" t="s">
        <v>9</v>
      </c>
      <c r="G9" s="5"/>
      <c r="H9" s="6"/>
      <c r="I9" s="6"/>
      <c r="J9" s="7" t="str">
        <f>CONCATENATE("&lt;image&gt;",TRIM(A9),"&lt;/image&gt;")</f>
        <v>&lt;image&gt;P1080564.jpg&lt;/image&gt;</v>
      </c>
    </row>
    <row r="10" spans="1:10" ht="15" customHeight="1" x14ac:dyDescent="0.25">
      <c r="A10" s="1" t="s">
        <v>10</v>
      </c>
      <c r="G10" s="5"/>
      <c r="H10" s="6"/>
      <c r="I10" s="6"/>
      <c r="J10" s="7" t="str">
        <f>CONCATENATE("&lt;image&gt;",TRIM(A10),"&lt;/image&gt;")</f>
        <v>&lt;image&gt;P1080565.jpg&lt;/image&gt;</v>
      </c>
    </row>
    <row r="11" spans="1:10" ht="15" customHeight="1" x14ac:dyDescent="0.25">
      <c r="A11" s="1" t="s">
        <v>11</v>
      </c>
      <c r="G11" s="5"/>
      <c r="H11" s="6"/>
      <c r="I11" s="6"/>
      <c r="J11" s="7" t="str">
        <f>CONCATENATE("&lt;image&gt;",TRIM(A11),"&lt;/image&gt;")</f>
        <v>&lt;image&gt;P1080566.jpg&lt;/image&gt;</v>
      </c>
    </row>
    <row r="12" spans="1:10" ht="15" customHeight="1" x14ac:dyDescent="0.25">
      <c r="A12" s="1" t="s">
        <v>12</v>
      </c>
      <c r="G12" s="5"/>
      <c r="H12" s="6"/>
      <c r="I12" s="6"/>
      <c r="J12" s="7" t="str">
        <f>CONCATENATE("&lt;image&gt;",TRIM(A12),"&lt;/image&gt;")</f>
        <v>&lt;image&gt;P1080569.jpg&lt;/image&gt;</v>
      </c>
    </row>
    <row r="13" spans="1:10" ht="15" customHeight="1" x14ac:dyDescent="0.25">
      <c r="A13" s="15"/>
      <c r="G13" s="5"/>
      <c r="H13" s="6"/>
      <c r="I13" s="6" t="s">
        <v>7</v>
      </c>
      <c r="J13" s="7"/>
    </row>
    <row r="14" spans="1:10" ht="15" customHeight="1" x14ac:dyDescent="0.25">
      <c r="A14" s="15"/>
      <c r="G14" s="5"/>
      <c r="H14" s="6" t="s">
        <v>4</v>
      </c>
      <c r="I14" s="6"/>
      <c r="J14" s="7"/>
    </row>
    <row r="15" spans="1:10" ht="15" customHeight="1" x14ac:dyDescent="0.25">
      <c r="A15" s="16">
        <f>A3+1</f>
        <v>1</v>
      </c>
      <c r="G15" s="5"/>
      <c r="H15" s="6" t="str">
        <f>CONCATENATE("&lt;article id=""",A15,"""&gt;")</f>
        <v>&lt;article id="1"&gt;</v>
      </c>
      <c r="I15" s="6"/>
      <c r="J15" s="7"/>
    </row>
    <row r="16" spans="1:10" ht="15" customHeight="1" x14ac:dyDescent="0.25">
      <c r="A16" s="13" t="s">
        <v>13</v>
      </c>
      <c r="G16" s="5"/>
      <c r="H16" s="6"/>
      <c r="I16" s="6" t="str">
        <f>CONCATENATE("&lt;titre&gt;",TRIM(A16),"&lt;/titre&gt;")</f>
        <v>&lt;titre&gt;Cuisinière électrique Whirlpool GoldSeries&lt;/titre&gt;</v>
      </c>
      <c r="J16" s="7"/>
    </row>
    <row r="17" spans="1:10" ht="15" customHeight="1" x14ac:dyDescent="0.25">
      <c r="A17" s="12" t="s">
        <v>124</v>
      </c>
      <c r="G17" s="5"/>
      <c r="H17" s="6"/>
      <c r="I17" s="6" t="str">
        <f>CONCATENATE("&lt;desc&gt;",TRIM(A17),"&lt;/desc&gt;")</f>
        <v>&lt;desc&gt;- Four de 5.3 pieds cube
- Four en acier inoxydable
- Acheté neuf en juillet 2013
- Jamais déménagé
- Vente pour cause de départ à l&amp;apos;étranger
Fonctions : 
- Horloge
- Minuterie
- Programmation
- Cuisson par convection
- Grill
- Maintien au chaud
- Préchauffage rapide
- Auto-nettoyage
- Économie d&amp;apos;energie
- Etc.
Fournit avec guide d&amp;apos;instructions
*** Disponible à partir du 1er juin ! ***
Prix d&amp;apos;achat : 1400$&lt;/desc&gt;</v>
      </c>
      <c r="J17" s="7"/>
    </row>
    <row r="18" spans="1:10" ht="15" customHeight="1" x14ac:dyDescent="0.25">
      <c r="A18" s="17">
        <v>450</v>
      </c>
      <c r="G18" s="5"/>
      <c r="H18" s="6"/>
      <c r="I18" s="6" t="str">
        <f>CONCATENATE("&lt;prix&gt;",TRIM(A18),"&lt;/prix&gt;")</f>
        <v>&lt;prix&gt;450&lt;/prix&gt;</v>
      </c>
      <c r="J18" s="7"/>
    </row>
    <row r="19" spans="1:10" ht="15" customHeight="1" x14ac:dyDescent="0.25">
      <c r="A19" s="1">
        <v>1</v>
      </c>
      <c r="G19" s="5"/>
      <c r="H19" s="6"/>
      <c r="I19" s="6" t="str">
        <f>CONCATENATE("&lt;vendu&gt;",TRIM(A19),"&lt;/vendu&gt;")</f>
        <v>&lt;vendu&gt;1&lt;/vendu&gt;</v>
      </c>
      <c r="J19" s="7"/>
    </row>
    <row r="20" spans="1:10" ht="15" customHeight="1" x14ac:dyDescent="0.25">
      <c r="A20" s="15"/>
      <c r="G20" s="5"/>
      <c r="H20" s="6"/>
      <c r="I20" s="6" t="s">
        <v>6</v>
      </c>
      <c r="J20" s="7"/>
    </row>
    <row r="21" spans="1:10" ht="15" customHeight="1" x14ac:dyDescent="0.25">
      <c r="A21" s="1" t="s">
        <v>19</v>
      </c>
      <c r="G21" s="5"/>
      <c r="H21" s="6"/>
      <c r="I21" s="6"/>
      <c r="J21" s="7" t="str">
        <f>CONCATENATE("&lt;image&gt;",TRIM(A21),"&lt;/image&gt;")</f>
        <v>&lt;image&gt;P1080688.jpg&lt;/image&gt;</v>
      </c>
    </row>
    <row r="22" spans="1:10" ht="15" customHeight="1" x14ac:dyDescent="0.25">
      <c r="A22" s="1" t="s">
        <v>15</v>
      </c>
      <c r="G22" s="5"/>
      <c r="H22" s="6"/>
      <c r="I22" s="6"/>
      <c r="J22" s="7" t="str">
        <f t="shared" ref="J22:J25" si="0">CONCATENATE("&lt;image&gt;",TRIM(A22),"&lt;/image&gt;")</f>
        <v>&lt;image&gt;P1080684.jpg&lt;/image&gt;</v>
      </c>
    </row>
    <row r="23" spans="1:10" ht="15" customHeight="1" x14ac:dyDescent="0.25">
      <c r="A23" s="1" t="s">
        <v>16</v>
      </c>
      <c r="G23" s="5"/>
      <c r="H23" s="6"/>
      <c r="I23" s="6"/>
      <c r="J23" s="7" t="str">
        <f t="shared" si="0"/>
        <v>&lt;image&gt;P1080685.jpg&lt;/image&gt;</v>
      </c>
    </row>
    <row r="24" spans="1:10" ht="15" customHeight="1" x14ac:dyDescent="0.25">
      <c r="A24" s="1" t="s">
        <v>17</v>
      </c>
      <c r="G24" s="5"/>
      <c r="H24" s="6"/>
      <c r="I24" s="6"/>
      <c r="J24" s="7" t="str">
        <f t="shared" si="0"/>
        <v>&lt;image&gt;P1080686.jpg&lt;/image&gt;</v>
      </c>
    </row>
    <row r="25" spans="1:10" ht="15" customHeight="1" x14ac:dyDescent="0.25">
      <c r="A25" s="1" t="s">
        <v>18</v>
      </c>
      <c r="G25" s="5"/>
      <c r="H25" s="6"/>
      <c r="I25" s="6"/>
      <c r="J25" s="7" t="str">
        <f t="shared" si="0"/>
        <v>&lt;image&gt;P1080687.jpg&lt;/image&gt;</v>
      </c>
    </row>
    <row r="26" spans="1:10" ht="15" customHeight="1" x14ac:dyDescent="0.25">
      <c r="A26" s="1" t="s">
        <v>14</v>
      </c>
      <c r="G26" s="5"/>
      <c r="H26" s="6"/>
      <c r="I26" s="6"/>
      <c r="J26" s="7" t="str">
        <f>CONCATENATE("&lt;image&gt;",TRIM(A26),"&lt;/image&gt;")</f>
        <v>&lt;image&gt;P1080683.jpg&lt;/image&gt;</v>
      </c>
    </row>
    <row r="27" spans="1:10" ht="15" customHeight="1" x14ac:dyDescent="0.25">
      <c r="A27" s="15"/>
      <c r="G27" s="5"/>
      <c r="H27" s="6"/>
      <c r="I27" s="6" t="s">
        <v>7</v>
      </c>
      <c r="J27" s="7"/>
    </row>
    <row r="28" spans="1:10" ht="15" customHeight="1" x14ac:dyDescent="0.25">
      <c r="A28" s="15"/>
      <c r="G28" s="5"/>
      <c r="H28" s="6" t="s">
        <v>4</v>
      </c>
      <c r="I28" s="6"/>
      <c r="J28" s="7"/>
    </row>
    <row r="29" spans="1:10" ht="15" customHeight="1" x14ac:dyDescent="0.25">
      <c r="A29" s="16">
        <f>A15+1</f>
        <v>2</v>
      </c>
      <c r="G29" s="5"/>
      <c r="H29" s="6" t="str">
        <f>CONCATENATE("&lt;article id=""",A29,"""&gt;")</f>
        <v>&lt;article id="2"&gt;</v>
      </c>
      <c r="I29" s="6"/>
      <c r="J29" s="7"/>
    </row>
    <row r="30" spans="1:10" ht="15" customHeight="1" x14ac:dyDescent="0.25">
      <c r="A30" s="13" t="s">
        <v>23</v>
      </c>
      <c r="G30" s="5"/>
      <c r="H30" s="6"/>
      <c r="I30" s="6" t="str">
        <f>CONCATENATE("&lt;titre&gt;",TRIM(A30),"&lt;/titre&gt;")</f>
        <v>&lt;titre&gt;Réfrigirateur Frigidaire&lt;/titre&gt;</v>
      </c>
      <c r="J30" s="7"/>
    </row>
    <row r="31" spans="1:10" ht="15" customHeight="1" x14ac:dyDescent="0.25">
      <c r="A31" s="11" t="s">
        <v>125</v>
      </c>
      <c r="G31" s="5"/>
      <c r="H31" s="6"/>
      <c r="I31" s="6" t="str">
        <f>CONCATENATE("&lt;desc&gt;",TRIM(A31),"&lt;/desc&gt;")</f>
        <v>&lt;desc&gt;
Réfrigirateur Frigidaire
*** Disponible à partir du 1er juin ! ***
- Acheté neuf en juillet 2013
- Jamais déménagé
- Vente pour cause de départ à l&amp;apos;étranger
- Energy Star
- 2 portes (réfrigérateur et congélateur)
- Contenance de 20.3 pieds cube
- Réfrigérateur en haut
- Congélateur en bas
- Portes réversibles
- Couleur : Gris métallique
- Dimensions : 30&amp;apos;&amp;apos; W x 33-7/8&amp;apos;&amp;apos; D x 67-3/4&amp;apos;&amp;apos; H
Fournit avec guide d&amp;apos;instructions
*** Disponible à partir du 1er juin ! ***
Prix d&amp;apos;achat : 950$&lt;/desc&gt;</v>
      </c>
      <c r="J31" s="7"/>
    </row>
    <row r="32" spans="1:10" ht="15" customHeight="1" x14ac:dyDescent="0.25">
      <c r="A32" s="17">
        <v>400</v>
      </c>
      <c r="G32" s="5"/>
      <c r="H32" s="6"/>
      <c r="I32" s="6" t="str">
        <f>CONCATENATE("&lt;prix&gt;",TRIM(A32),"&lt;/prix&gt;")</f>
        <v>&lt;prix&gt;400&lt;/prix&gt;</v>
      </c>
      <c r="J32" s="7"/>
    </row>
    <row r="33" spans="1:10" ht="15" customHeight="1" x14ac:dyDescent="0.25">
      <c r="A33" s="1">
        <v>1</v>
      </c>
      <c r="G33" s="5"/>
      <c r="H33" s="6"/>
      <c r="I33" s="6" t="str">
        <f>CONCATENATE("&lt;vendu&gt;",TRIM(A33),"&lt;/vendu&gt;")</f>
        <v>&lt;vendu&gt;1&lt;/vendu&gt;</v>
      </c>
      <c r="J33" s="7"/>
    </row>
    <row r="34" spans="1:10" ht="15" customHeight="1" x14ac:dyDescent="0.25">
      <c r="A34" s="15"/>
      <c r="G34" s="5"/>
      <c r="H34" s="6"/>
      <c r="I34" s="6" t="s">
        <v>6</v>
      </c>
      <c r="J34" s="7"/>
    </row>
    <row r="35" spans="1:10" ht="15" customHeight="1" x14ac:dyDescent="0.25">
      <c r="A35" s="1" t="s">
        <v>20</v>
      </c>
      <c r="G35" s="5"/>
      <c r="H35" s="6"/>
      <c r="I35" s="6"/>
      <c r="J35" s="7" t="str">
        <f>CONCATENATE("&lt;image&gt;",TRIM(A35),"&lt;/image&gt;")</f>
        <v>&lt;image&gt;P1080588.jpg&lt;/image&gt;</v>
      </c>
    </row>
    <row r="36" spans="1:10" ht="15" customHeight="1" x14ac:dyDescent="0.25">
      <c r="A36" s="1" t="s">
        <v>21</v>
      </c>
      <c r="G36" s="5"/>
      <c r="H36" s="6"/>
      <c r="I36" s="6"/>
      <c r="J36" s="7" t="str">
        <f t="shared" ref="J36:J37" si="1">CONCATENATE("&lt;image&gt;",TRIM(A36),"&lt;/image&gt;")</f>
        <v>&lt;image&gt;P1080589.jpg&lt;/image&gt;</v>
      </c>
    </row>
    <row r="37" spans="1:10" ht="15" customHeight="1" x14ac:dyDescent="0.25">
      <c r="A37" s="1" t="s">
        <v>22</v>
      </c>
      <c r="G37" s="5"/>
      <c r="H37" s="6"/>
      <c r="I37" s="6"/>
      <c r="J37" s="7" t="str">
        <f t="shared" si="1"/>
        <v>&lt;image&gt;P1080682.jpg&lt;/image&gt;</v>
      </c>
    </row>
    <row r="38" spans="1:10" ht="15" customHeight="1" x14ac:dyDescent="0.25">
      <c r="A38" s="15"/>
      <c r="G38" s="5"/>
      <c r="H38" s="6"/>
      <c r="I38" s="6" t="s">
        <v>7</v>
      </c>
      <c r="J38" s="7"/>
    </row>
    <row r="39" spans="1:10" ht="15" customHeight="1" x14ac:dyDescent="0.25">
      <c r="A39" s="15"/>
      <c r="G39" s="5"/>
      <c r="H39" s="6" t="s">
        <v>4</v>
      </c>
      <c r="I39" s="6"/>
      <c r="J39" s="7"/>
    </row>
    <row r="40" spans="1:10" ht="15" customHeight="1" x14ac:dyDescent="0.25">
      <c r="A40" s="16">
        <f>A29+1</f>
        <v>3</v>
      </c>
      <c r="G40" s="5"/>
      <c r="H40" s="6" t="str">
        <f>CONCATENATE("&lt;article id=""",A40,"""&gt;")</f>
        <v>&lt;article id="3"&gt;</v>
      </c>
      <c r="I40" s="6"/>
      <c r="J40" s="7"/>
    </row>
    <row r="41" spans="1:10" ht="15" customHeight="1" x14ac:dyDescent="0.25">
      <c r="A41" s="13" t="s">
        <v>24</v>
      </c>
      <c r="G41" s="5"/>
      <c r="H41" s="6"/>
      <c r="I41" s="6" t="str">
        <f>CONCATENATE("&lt;titre&gt;",TRIM(A41),"&lt;/titre&gt;")</f>
        <v>&lt;titre&gt;Laveuse Whirlpool Duet&lt;/titre&gt;</v>
      </c>
      <c r="J41" s="7"/>
    </row>
    <row r="42" spans="1:10" ht="15" customHeight="1" x14ac:dyDescent="0.25">
      <c r="A42" s="11" t="s">
        <v>126</v>
      </c>
      <c r="G42" s="5"/>
      <c r="H42" s="6"/>
      <c r="I42" s="6" t="str">
        <f>CONCATENATE("&lt;desc&gt;",TRIM(A42),"&lt;/desc&gt;")</f>
        <v>&lt;desc&gt;***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d&amp;apos;instructions
*** Disponible à partir du 1er juin ! ***
Prix d&amp;apos;achat : 850$&lt;/desc&gt;</v>
      </c>
      <c r="J42" s="7"/>
    </row>
    <row r="43" spans="1:10" ht="15" customHeight="1" x14ac:dyDescent="0.25">
      <c r="A43" s="17">
        <v>350</v>
      </c>
      <c r="G43" s="5"/>
      <c r="H43" s="6"/>
      <c r="I43" s="6" t="str">
        <f>CONCATENATE("&lt;prix&gt;",TRIM(A43),"&lt;/prix&gt;")</f>
        <v>&lt;prix&gt;350&lt;/prix&gt;</v>
      </c>
      <c r="J43" s="7"/>
    </row>
    <row r="44" spans="1:10" ht="15" customHeight="1" x14ac:dyDescent="0.25">
      <c r="A44" s="1">
        <v>1</v>
      </c>
      <c r="G44" s="5"/>
      <c r="H44" s="6"/>
      <c r="I44" s="6" t="str">
        <f>CONCATENATE("&lt;vendu&gt;",TRIM(A44),"&lt;/vendu&gt;")</f>
        <v>&lt;vendu&gt;1&lt;/vendu&gt;</v>
      </c>
      <c r="J44" s="7"/>
    </row>
    <row r="45" spans="1:10" ht="15" customHeight="1" x14ac:dyDescent="0.25">
      <c r="A45" s="15"/>
      <c r="G45" s="5"/>
      <c r="H45" s="6"/>
      <c r="I45" s="6" t="s">
        <v>6</v>
      </c>
      <c r="J45" s="7"/>
    </row>
    <row r="46" spans="1:10" ht="15" customHeight="1" x14ac:dyDescent="0.25">
      <c r="A46" s="1" t="s">
        <v>25</v>
      </c>
      <c r="G46" s="5"/>
      <c r="H46" s="6"/>
      <c r="I46" s="6"/>
      <c r="J46" s="7" t="str">
        <f>CONCATENATE("&lt;image&gt;",TRIM(A46),"&lt;/image&gt;")</f>
        <v>&lt;image&gt;P1080570.jpg&lt;/image&gt;</v>
      </c>
    </row>
    <row r="47" spans="1:10" ht="15" customHeight="1" x14ac:dyDescent="0.25">
      <c r="A47" s="1" t="s">
        <v>26</v>
      </c>
      <c r="G47" s="5"/>
      <c r="H47" s="6"/>
      <c r="I47" s="6"/>
      <c r="J47" s="7" t="str">
        <f t="shared" ref="J47:J50" si="2">CONCATENATE("&lt;image&gt;",TRIM(A47),"&lt;/image&gt;")</f>
        <v>&lt;image&gt;P1080571.jpg&lt;/image&gt;</v>
      </c>
    </row>
    <row r="48" spans="1:10" ht="15" customHeight="1" x14ac:dyDescent="0.25">
      <c r="A48" s="1" t="s">
        <v>27</v>
      </c>
      <c r="G48" s="5"/>
      <c r="H48" s="6"/>
      <c r="I48" s="6"/>
      <c r="J48" s="7" t="str">
        <f t="shared" si="2"/>
        <v>&lt;image&gt;P1080580.jpg&lt;/image&gt;</v>
      </c>
    </row>
    <row r="49" spans="1:10" ht="15" customHeight="1" x14ac:dyDescent="0.25">
      <c r="A49" s="1" t="s">
        <v>28</v>
      </c>
      <c r="G49" s="5"/>
      <c r="H49" s="6"/>
      <c r="I49" s="6"/>
      <c r="J49" s="7" t="str">
        <f t="shared" si="2"/>
        <v>&lt;image&gt;P1080581.jpg&lt;/image&gt;</v>
      </c>
    </row>
    <row r="50" spans="1:10" ht="15" customHeight="1" x14ac:dyDescent="0.25">
      <c r="A50" s="1" t="s">
        <v>29</v>
      </c>
      <c r="G50" s="5"/>
      <c r="H50" s="6"/>
      <c r="I50" s="6"/>
      <c r="J50" s="7" t="str">
        <f t="shared" si="2"/>
        <v>&lt;image&gt;P1080582.jpg&lt;/image&gt;</v>
      </c>
    </row>
    <row r="51" spans="1:10" ht="15" customHeight="1" x14ac:dyDescent="0.25">
      <c r="A51" s="1" t="s">
        <v>30</v>
      </c>
      <c r="G51" s="5"/>
      <c r="H51" s="6"/>
      <c r="I51" s="6"/>
      <c r="J51" s="7" t="str">
        <f>CONCATENATE("&lt;image&gt;",TRIM(A51),"&lt;/image&gt;")</f>
        <v>&lt;image&gt;P1080583.jpg&lt;/image&gt;</v>
      </c>
    </row>
    <row r="52" spans="1:10" ht="15" customHeight="1" x14ac:dyDescent="0.25">
      <c r="A52" s="15"/>
      <c r="G52" s="5"/>
      <c r="H52" s="6"/>
      <c r="I52" s="6" t="s">
        <v>7</v>
      </c>
      <c r="J52" s="7"/>
    </row>
    <row r="53" spans="1:10" ht="15" customHeight="1" x14ac:dyDescent="0.25">
      <c r="A53" s="15"/>
      <c r="G53" s="5"/>
      <c r="H53" s="6" t="s">
        <v>4</v>
      </c>
      <c r="I53" s="6"/>
      <c r="J53" s="7"/>
    </row>
    <row r="54" spans="1:10" ht="15" customHeight="1" x14ac:dyDescent="0.25">
      <c r="A54" s="16">
        <f>A40+1</f>
        <v>4</v>
      </c>
      <c r="G54" s="5"/>
      <c r="H54" s="6" t="str">
        <f>CONCATENATE("&lt;article id=""",A54,"""&gt;")</f>
        <v>&lt;article id="4"&gt;</v>
      </c>
      <c r="I54" s="6"/>
      <c r="J54" s="7"/>
    </row>
    <row r="55" spans="1:10" ht="15" customHeight="1" x14ac:dyDescent="0.25">
      <c r="A55" s="13" t="s">
        <v>35</v>
      </c>
      <c r="G55" s="5"/>
      <c r="H55" s="6"/>
      <c r="I55" s="6" t="str">
        <f>CONCATENATE("&lt;titre&gt;",TRIM(A55),"&lt;/titre&gt;")</f>
        <v>&lt;titre&gt;Sécheuse Whirlpool Duet&lt;/titre&gt;</v>
      </c>
      <c r="J55" s="7"/>
    </row>
    <row r="56" spans="1:10" ht="15" customHeight="1" x14ac:dyDescent="0.25">
      <c r="A56" s="11" t="s">
        <v>127</v>
      </c>
      <c r="G56" s="5"/>
      <c r="H56" s="6"/>
      <c r="I56" s="6" t="str">
        <f>CONCATENATE("&lt;desc&gt;",TRIM(A56),"&lt;/desc&gt;")</f>
        <v>&lt;desc&gt;*** Disponible à partir du 1er juin ! ***
- Chargement frontal
- Capacité de 6.7 pieds cube
- Couleur : blanc
- Energy Star
- Superposable avec la laveuse
Dimensions : Depth 29.0 in, Height 36.0 in, Width 27.0 in
*** Disponible à partir du 1er juin ! ***
Prix d&amp;apos;achat : 650$&lt;/desc&gt;</v>
      </c>
      <c r="J56" s="7"/>
    </row>
    <row r="57" spans="1:10" ht="15" customHeight="1" x14ac:dyDescent="0.25">
      <c r="A57" s="17">
        <v>250</v>
      </c>
      <c r="G57" s="5"/>
      <c r="H57" s="6"/>
      <c r="I57" s="6" t="str">
        <f>CONCATENATE("&lt;prix&gt;",TRIM(A57),"&lt;/prix&gt;")</f>
        <v>&lt;prix&gt;250&lt;/prix&gt;</v>
      </c>
      <c r="J57" s="7"/>
    </row>
    <row r="58" spans="1:10" ht="15" customHeight="1" x14ac:dyDescent="0.25">
      <c r="A58" s="1">
        <v>1</v>
      </c>
      <c r="G58" s="5"/>
      <c r="H58" s="6"/>
      <c r="I58" s="6" t="str">
        <f>CONCATENATE("&lt;vendu&gt;",TRIM(A58),"&lt;/vendu&gt;")</f>
        <v>&lt;vendu&gt;1&lt;/vendu&gt;</v>
      </c>
      <c r="J58" s="7"/>
    </row>
    <row r="59" spans="1:10" ht="15" customHeight="1" x14ac:dyDescent="0.25">
      <c r="A59" s="15"/>
      <c r="G59" s="5"/>
      <c r="H59" s="6"/>
      <c r="I59" s="6" t="s">
        <v>6</v>
      </c>
      <c r="J59" s="7"/>
    </row>
    <row r="60" spans="1:10" ht="15" customHeight="1" x14ac:dyDescent="0.25">
      <c r="A60" s="1" t="s">
        <v>31</v>
      </c>
      <c r="G60" s="5"/>
      <c r="H60" s="6"/>
      <c r="I60" s="6"/>
      <c r="J60" s="7" t="str">
        <f>CONCATENATE("&lt;image&gt;",TRIM(A60),"&lt;/image&gt;")</f>
        <v>&lt;image&gt;P1080584.jpg&lt;/image&gt;</v>
      </c>
    </row>
    <row r="61" spans="1:10" ht="15" customHeight="1" x14ac:dyDescent="0.25">
      <c r="A61" s="1" t="s">
        <v>32</v>
      </c>
      <c r="G61" s="5"/>
      <c r="H61" s="6"/>
      <c r="I61" s="6"/>
      <c r="J61" s="7" t="str">
        <f t="shared" ref="J61:J63" si="3">CONCATENATE("&lt;image&gt;",TRIM(A61),"&lt;/image&gt;")</f>
        <v>&lt;image&gt;P1080585.jpg&lt;/image&gt;</v>
      </c>
    </row>
    <row r="62" spans="1:10" ht="15" customHeight="1" x14ac:dyDescent="0.25">
      <c r="A62" s="1" t="s">
        <v>33</v>
      </c>
      <c r="G62" s="5"/>
      <c r="H62" s="6"/>
      <c r="I62" s="6"/>
      <c r="J62" s="7" t="str">
        <f t="shared" si="3"/>
        <v>&lt;image&gt;P1080586.jpg&lt;/image&gt;</v>
      </c>
    </row>
    <row r="63" spans="1:10" ht="15" customHeight="1" x14ac:dyDescent="0.25">
      <c r="A63" s="1" t="s">
        <v>34</v>
      </c>
      <c r="G63" s="5"/>
      <c r="H63" s="6"/>
      <c r="I63" s="6"/>
      <c r="J63" s="7" t="str">
        <f t="shared" si="3"/>
        <v>&lt;image&gt;P1080587.jpg&lt;/image&gt;</v>
      </c>
    </row>
    <row r="64" spans="1:10" ht="15" customHeight="1" x14ac:dyDescent="0.25">
      <c r="A64" s="15"/>
      <c r="G64" s="5"/>
      <c r="H64" s="6"/>
      <c r="I64" s="6" t="s">
        <v>7</v>
      </c>
      <c r="J64" s="7"/>
    </row>
    <row r="65" spans="1:10" ht="15" customHeight="1" x14ac:dyDescent="0.25">
      <c r="A65" s="15"/>
      <c r="G65" s="5"/>
      <c r="H65" s="6" t="s">
        <v>4</v>
      </c>
      <c r="I65" s="6"/>
      <c r="J65" s="7"/>
    </row>
    <row r="66" spans="1:10" ht="15" customHeight="1" x14ac:dyDescent="0.25">
      <c r="A66" s="16">
        <f>A54+1</f>
        <v>5</v>
      </c>
      <c r="G66" s="5"/>
      <c r="H66" s="6" t="str">
        <f>CONCATENATE("&lt;article id=""",A66,"""&gt;")</f>
        <v>&lt;article id="5"&gt;</v>
      </c>
      <c r="I66" s="6"/>
      <c r="J66" s="7"/>
    </row>
    <row r="67" spans="1:10" ht="15" customHeight="1" x14ac:dyDescent="0.25">
      <c r="A67" s="13" t="s">
        <v>36</v>
      </c>
      <c r="G67" s="5"/>
      <c r="H67" s="6"/>
      <c r="I67" s="6" t="str">
        <f>CONCATENATE("&lt;titre&gt;",TRIM(A67),"&lt;/titre&gt;")</f>
        <v>&lt;titre&gt;Table de chevet&lt;/titre&gt;</v>
      </c>
      <c r="J67" s="7"/>
    </row>
    <row r="68" spans="1:10" ht="15" customHeight="1" x14ac:dyDescent="0.25">
      <c r="A68" s="12" t="s">
        <v>128</v>
      </c>
      <c r="G68" s="5"/>
      <c r="H68" s="6"/>
      <c r="I68" s="6" t="str">
        <f>CONCATENATE("&lt;desc&gt;",TRIM(A68),"&lt;/desc&gt;")</f>
        <v>&lt;desc&gt;- Avec tiroir
- Dimensions (largeur x profondeur x hauteur) : 13&amp;apos;&amp;apos; x 15&amp;apos;&amp;apos; x 27&amp;apos;&amp;apos;&lt;/desc&gt;</v>
      </c>
      <c r="J68" s="7"/>
    </row>
    <row r="69" spans="1:10" ht="15" customHeight="1" x14ac:dyDescent="0.25">
      <c r="A69" s="17">
        <v>25</v>
      </c>
      <c r="G69" s="5"/>
      <c r="H69" s="6"/>
      <c r="I69" s="6" t="str">
        <f>CONCATENATE("&lt;prix&gt;",TRIM(A69),"&lt;/prix&gt;")</f>
        <v>&lt;prix&gt;25&lt;/prix&gt;</v>
      </c>
      <c r="J69" s="7"/>
    </row>
    <row r="70" spans="1:10" ht="15" customHeight="1" x14ac:dyDescent="0.25">
      <c r="A70" s="1">
        <v>1</v>
      </c>
      <c r="G70" s="5"/>
      <c r="H70" s="6"/>
      <c r="I70" s="6" t="str">
        <f>CONCATENATE("&lt;vendu&gt;",TRIM(A70),"&lt;/vendu&gt;")</f>
        <v>&lt;vendu&gt;1&lt;/vendu&gt;</v>
      </c>
      <c r="J70" s="7"/>
    </row>
    <row r="71" spans="1:10" ht="15" customHeight="1" x14ac:dyDescent="0.25">
      <c r="A71" s="15"/>
      <c r="G71" s="5"/>
      <c r="H71" s="6"/>
      <c r="I71" s="6" t="s">
        <v>6</v>
      </c>
      <c r="J71" s="7"/>
    </row>
    <row r="72" spans="1:10" ht="15" customHeight="1" x14ac:dyDescent="0.25">
      <c r="A72" s="1" t="s">
        <v>39</v>
      </c>
      <c r="G72" s="5"/>
      <c r="H72" s="6"/>
      <c r="I72" s="6"/>
      <c r="J72" s="7" t="str">
        <f>CONCATENATE("&lt;image&gt;",TRIM(A72),"&lt;/image&gt;")</f>
        <v>&lt;image&gt;P1080648.jpg&lt;/image&gt;</v>
      </c>
    </row>
    <row r="73" spans="1:10" ht="15" customHeight="1" x14ac:dyDescent="0.25">
      <c r="A73" s="1" t="s">
        <v>38</v>
      </c>
      <c r="G73" s="5"/>
      <c r="H73" s="6"/>
      <c r="I73" s="6"/>
      <c r="J73" s="7" t="str">
        <f t="shared" ref="J73:J75" si="4">CONCATENATE("&lt;image&gt;",TRIM(A73),"&lt;/image&gt;")</f>
        <v>&lt;image&gt;P1080647.jpg&lt;/image&gt;</v>
      </c>
    </row>
    <row r="74" spans="1:10" ht="15" customHeight="1" x14ac:dyDescent="0.25">
      <c r="A74" s="1" t="s">
        <v>37</v>
      </c>
      <c r="G74" s="5"/>
      <c r="H74" s="6"/>
      <c r="I74" s="6"/>
      <c r="J74" s="7" t="str">
        <f t="shared" si="4"/>
        <v>&lt;image&gt;P1080646.jpg&lt;/image&gt;</v>
      </c>
    </row>
    <row r="75" spans="1:10" ht="15" customHeight="1" x14ac:dyDescent="0.25">
      <c r="A75" s="1" t="s">
        <v>40</v>
      </c>
      <c r="G75" s="5"/>
      <c r="H75" s="6"/>
      <c r="I75" s="6"/>
      <c r="J75" s="7" t="str">
        <f t="shared" si="4"/>
        <v>&lt;image&gt;P1080649.jpg&lt;/image&gt;</v>
      </c>
    </row>
    <row r="76" spans="1:10" ht="15" customHeight="1" x14ac:dyDescent="0.25">
      <c r="A76" s="15"/>
      <c r="G76" s="5"/>
      <c r="H76" s="6"/>
      <c r="I76" s="6" t="s">
        <v>7</v>
      </c>
      <c r="J76" s="7"/>
    </row>
    <row r="77" spans="1:10" ht="15" customHeight="1" x14ac:dyDescent="0.25">
      <c r="A77" s="15"/>
      <c r="G77" s="5"/>
      <c r="H77" s="6" t="s">
        <v>4</v>
      </c>
      <c r="I77" s="6"/>
      <c r="J77" s="7"/>
    </row>
    <row r="78" spans="1:10" ht="15" customHeight="1" x14ac:dyDescent="0.25">
      <c r="A78" s="16">
        <f>A66+1</f>
        <v>6</v>
      </c>
      <c r="G78" s="5"/>
      <c r="H78" s="6" t="str">
        <f>CONCATENATE("&lt;article id=""",A78,"""&gt;")</f>
        <v>&lt;article id="6"&gt;</v>
      </c>
      <c r="I78" s="6"/>
      <c r="J78" s="7"/>
    </row>
    <row r="79" spans="1:10" ht="15" customHeight="1" x14ac:dyDescent="0.25">
      <c r="A79" s="13" t="s">
        <v>41</v>
      </c>
      <c r="G79" s="5"/>
      <c r="H79" s="6"/>
      <c r="I79" s="6" t="str">
        <f>CONCATENATE("&lt;titre&gt;",TRIM(A79),"&lt;/titre&gt;")</f>
        <v>&lt;titre&gt;Desserte cuisine&lt;/titre&gt;</v>
      </c>
      <c r="J79" s="7"/>
    </row>
    <row r="80" spans="1:10" ht="15" customHeight="1" x14ac:dyDescent="0.25">
      <c r="A80" s="12" t="s">
        <v>129</v>
      </c>
      <c r="G80" s="5"/>
      <c r="H80" s="6"/>
      <c r="I80" s="6" t="str">
        <f>CONCATENATE("&lt;desc&gt;",TRIM(A80),"&lt;/desc&gt;")</f>
        <v>&lt;desc&gt;- Surface en granite
- Tirroir
- Panier métallique
- Plateau de service amovible
- Monté sur roulettes
Prix d&amp;apos;achat : 149$&lt;/desc&gt;</v>
      </c>
      <c r="J80" s="7"/>
    </row>
    <row r="81" spans="1:10" ht="15" customHeight="1" x14ac:dyDescent="0.25">
      <c r="A81" s="17">
        <v>75</v>
      </c>
      <c r="G81" s="5"/>
      <c r="H81" s="6"/>
      <c r="I81" s="6" t="str">
        <f>CONCATENATE("&lt;prix&gt;",TRIM(A81),"&lt;/prix&gt;")</f>
        <v>&lt;prix&gt;75&lt;/prix&gt;</v>
      </c>
      <c r="J81" s="7"/>
    </row>
    <row r="82" spans="1:10" ht="15" customHeight="1" x14ac:dyDescent="0.25">
      <c r="A82" s="1">
        <v>1</v>
      </c>
      <c r="G82" s="5"/>
      <c r="H82" s="6"/>
      <c r="I82" s="6" t="str">
        <f>CONCATENATE("&lt;vendu&gt;",TRIM(A82),"&lt;/vendu&gt;")</f>
        <v>&lt;vendu&gt;1&lt;/vendu&gt;</v>
      </c>
      <c r="J82" s="7"/>
    </row>
    <row r="83" spans="1:10" ht="15" customHeight="1" x14ac:dyDescent="0.25">
      <c r="A83" s="15"/>
      <c r="G83" s="5"/>
      <c r="H83" s="6"/>
      <c r="I83" s="6" t="s">
        <v>6</v>
      </c>
      <c r="J83" s="7"/>
    </row>
    <row r="84" spans="1:10" ht="15" customHeight="1" x14ac:dyDescent="0.25">
      <c r="A84" s="1" t="s">
        <v>42</v>
      </c>
      <c r="G84" s="5"/>
      <c r="H84" s="6"/>
      <c r="I84" s="6"/>
      <c r="J84" s="7" t="str">
        <f>CONCATENATE("&lt;image&gt;",TRIM(A84),"&lt;/image&gt;")</f>
        <v>&lt;image&gt;P1080655.jpg&lt;/image&gt;</v>
      </c>
    </row>
    <row r="85" spans="1:10" ht="15" customHeight="1" x14ac:dyDescent="0.25">
      <c r="A85" s="1" t="s">
        <v>43</v>
      </c>
      <c r="G85" s="5"/>
      <c r="H85" s="6"/>
      <c r="I85" s="6"/>
      <c r="J85" s="7" t="str">
        <f t="shared" ref="J85:J87" si="5">CONCATENATE("&lt;image&gt;",TRIM(A85),"&lt;/image&gt;")</f>
        <v>&lt;image&gt;P1080656.jpg&lt;/image&gt;</v>
      </c>
    </row>
    <row r="86" spans="1:10" ht="15" customHeight="1" x14ac:dyDescent="0.25">
      <c r="A86" s="1" t="s">
        <v>44</v>
      </c>
      <c r="G86" s="5"/>
      <c r="H86" s="6"/>
      <c r="I86" s="6"/>
      <c r="J86" s="7" t="str">
        <f t="shared" si="5"/>
        <v>&lt;image&gt;P1080657.jpg&lt;/image&gt;</v>
      </c>
    </row>
    <row r="87" spans="1:10" ht="15" customHeight="1" x14ac:dyDescent="0.25">
      <c r="A87" s="1" t="s">
        <v>45</v>
      </c>
      <c r="G87" s="5"/>
      <c r="H87" s="6"/>
      <c r="I87" s="6"/>
      <c r="J87" s="7" t="str">
        <f t="shared" si="5"/>
        <v>&lt;image&gt;P1080658.jpg&lt;/image&gt;</v>
      </c>
    </row>
    <row r="88" spans="1:10" ht="15" customHeight="1" x14ac:dyDescent="0.25">
      <c r="A88" s="15"/>
      <c r="G88" s="5"/>
      <c r="H88" s="6"/>
      <c r="I88" s="6" t="s">
        <v>7</v>
      </c>
      <c r="J88" s="7"/>
    </row>
    <row r="89" spans="1:10" ht="15" customHeight="1" x14ac:dyDescent="0.25">
      <c r="A89" s="15"/>
      <c r="G89" s="5"/>
      <c r="H89" s="6" t="s">
        <v>4</v>
      </c>
      <c r="I89" s="6"/>
      <c r="J89" s="7"/>
    </row>
    <row r="90" spans="1:10" ht="15" customHeight="1" x14ac:dyDescent="0.25">
      <c r="A90" s="16">
        <f>A78+1</f>
        <v>7</v>
      </c>
      <c r="G90" s="5"/>
      <c r="H90" s="6" t="str">
        <f>CONCATENATE("&lt;article id=""",A90,"""&gt;")</f>
        <v>&lt;article id="7"&gt;</v>
      </c>
      <c r="I90" s="6"/>
      <c r="J90" s="7"/>
    </row>
    <row r="91" spans="1:10" ht="15" customHeight="1" x14ac:dyDescent="0.25">
      <c r="A91" s="13" t="s">
        <v>111</v>
      </c>
      <c r="G91" s="5"/>
      <c r="H91" s="6"/>
      <c r="I91" s="6" t="str">
        <f>CONCATENATE("&lt;titre&gt;",TRIM(A91),"&lt;/titre&gt;")</f>
        <v>&lt;titre&gt;Meuble micro-onde&lt;/titre&gt;</v>
      </c>
      <c r="J91" s="7"/>
    </row>
    <row r="92" spans="1:10" ht="15" customHeight="1" x14ac:dyDescent="0.25">
      <c r="A92" s="12" t="s">
        <v>130</v>
      </c>
      <c r="G92" s="5"/>
      <c r="H92" s="6"/>
      <c r="I92" s="6" t="str">
        <f>CONCATENATE("&lt;desc&gt;",TRIM(A92),"&lt;/desc&gt;")</f>
        <v>&lt;desc&gt;- Monté sur roulettes
- Dimensions (Largeur, profondeur, hauteur) : 25&amp;apos;&amp;apos; x 16&amp;apos;&amp;apos; x 33&amp;apos;&amp;apos;&lt;/desc&gt;</v>
      </c>
      <c r="J92" s="7"/>
    </row>
    <row r="93" spans="1:10" ht="15" customHeight="1" x14ac:dyDescent="0.25">
      <c r="A93" s="17">
        <v>40</v>
      </c>
      <c r="G93" s="5"/>
      <c r="H93" s="6"/>
      <c r="I93" s="6" t="str">
        <f>CONCATENATE("&lt;prix&gt;",TRIM(A93),"&lt;/prix&gt;")</f>
        <v>&lt;prix&gt;40&lt;/prix&gt;</v>
      </c>
      <c r="J93" s="7"/>
    </row>
    <row r="94" spans="1:10" ht="15" customHeight="1" x14ac:dyDescent="0.25">
      <c r="A94" s="1">
        <v>1</v>
      </c>
      <c r="G94" s="5"/>
      <c r="H94" s="6"/>
      <c r="I94" s="6" t="str">
        <f>CONCATENATE("&lt;vendu&gt;",TRIM(A94),"&lt;/vendu&gt;")</f>
        <v>&lt;vendu&gt;1&lt;/vendu&gt;</v>
      </c>
      <c r="J94" s="7"/>
    </row>
    <row r="95" spans="1:10" ht="15" customHeight="1" x14ac:dyDescent="0.25">
      <c r="A95" s="15"/>
      <c r="G95" s="5"/>
      <c r="H95" s="6"/>
      <c r="I95" s="6" t="s">
        <v>6</v>
      </c>
      <c r="J95" s="7"/>
    </row>
    <row r="96" spans="1:10" ht="15" customHeight="1" x14ac:dyDescent="0.25">
      <c r="A96" s="1" t="s">
        <v>46</v>
      </c>
      <c r="G96" s="5"/>
      <c r="H96" s="6"/>
      <c r="I96" s="6"/>
      <c r="J96" s="7" t="str">
        <f>CONCATENATE("&lt;image&gt;",TRIM(A96),"&lt;/image&gt;")</f>
        <v>&lt;image&gt;P1080654.jpg&lt;/image&gt;</v>
      </c>
    </row>
    <row r="97" spans="1:10" ht="15" customHeight="1" x14ac:dyDescent="0.25">
      <c r="A97" s="1" t="s">
        <v>82</v>
      </c>
      <c r="G97" s="5"/>
      <c r="H97" s="6"/>
      <c r="I97" s="6"/>
      <c r="J97" s="7" t="str">
        <f t="shared" ref="J97:J101" si="6">CONCATENATE("&lt;image&gt;",TRIM(A97),"&lt;/image&gt;")</f>
        <v>&lt;image&gt;P1080692.jpg&lt;/image&gt;</v>
      </c>
    </row>
    <row r="98" spans="1:10" ht="15" customHeight="1" x14ac:dyDescent="0.25">
      <c r="A98" s="1" t="s">
        <v>83</v>
      </c>
      <c r="G98" s="5"/>
      <c r="H98" s="6"/>
      <c r="I98" s="6"/>
      <c r="J98" s="7" t="str">
        <f t="shared" ref="J98" si="7">CONCATENATE("&lt;image&gt;",TRIM(A98),"&lt;/image&gt;")</f>
        <v>&lt;image&gt;P1080693.jpg&lt;/image&gt;</v>
      </c>
    </row>
    <row r="99" spans="1:10" ht="15" customHeight="1" x14ac:dyDescent="0.25">
      <c r="A99" s="1" t="s">
        <v>84</v>
      </c>
      <c r="G99" s="5"/>
      <c r="H99" s="6"/>
      <c r="I99" s="6"/>
      <c r="J99" s="7" t="str">
        <f t="shared" si="6"/>
        <v>&lt;image&gt;P1080694.jpg&lt;/image&gt;</v>
      </c>
    </row>
    <row r="100" spans="1:10" ht="15" customHeight="1" x14ac:dyDescent="0.25">
      <c r="A100" s="1" t="s">
        <v>85</v>
      </c>
      <c r="G100" s="5"/>
      <c r="H100" s="6"/>
      <c r="I100" s="6"/>
      <c r="J100" s="7" t="str">
        <f t="shared" ref="J100" si="8">CONCATENATE("&lt;image&gt;",TRIM(A100),"&lt;/image&gt;")</f>
        <v>&lt;image&gt;P1080695.jpg&lt;/image&gt;</v>
      </c>
    </row>
    <row r="101" spans="1:10" ht="15" customHeight="1" x14ac:dyDescent="0.25">
      <c r="A101" s="1" t="s">
        <v>86</v>
      </c>
      <c r="G101" s="5"/>
      <c r="H101" s="6"/>
      <c r="I101" s="6"/>
      <c r="J101" s="7" t="str">
        <f t="shared" si="6"/>
        <v>&lt;image&gt;P1080696.jpg&lt;/image&gt;</v>
      </c>
    </row>
    <row r="102" spans="1:10" ht="15" customHeight="1" x14ac:dyDescent="0.25">
      <c r="A102" s="15"/>
      <c r="G102" s="5"/>
      <c r="H102" s="6"/>
      <c r="I102" s="6" t="s">
        <v>7</v>
      </c>
      <c r="J102" s="7"/>
    </row>
    <row r="103" spans="1:10" ht="15" customHeight="1" x14ac:dyDescent="0.25">
      <c r="A103" s="15"/>
      <c r="G103" s="5"/>
      <c r="H103" s="6" t="s">
        <v>4</v>
      </c>
      <c r="I103" s="6"/>
      <c r="J103" s="7"/>
    </row>
    <row r="104" spans="1:10" ht="15" customHeight="1" x14ac:dyDescent="0.25">
      <c r="A104" s="16">
        <f>A90+1</f>
        <v>8</v>
      </c>
      <c r="G104" s="5"/>
      <c r="H104" s="6" t="str">
        <f>CONCATENATE("&lt;article id=""",A104,"""&gt;")</f>
        <v>&lt;article id="8"&gt;</v>
      </c>
      <c r="I104" s="6"/>
      <c r="J104" s="7"/>
    </row>
    <row r="105" spans="1:10" ht="15" customHeight="1" x14ac:dyDescent="0.25">
      <c r="A105" s="13" t="s">
        <v>49</v>
      </c>
      <c r="G105" s="5"/>
      <c r="H105" s="6"/>
      <c r="I105" s="6" t="str">
        <f>CONCATENATE("&lt;titre&gt;",TRIM(A105),"&lt;/titre&gt;")</f>
        <v>&lt;titre&gt;Table basse&lt;/titre&gt;</v>
      </c>
      <c r="J105" s="7"/>
    </row>
    <row r="106" spans="1:10" ht="15" customHeight="1" x14ac:dyDescent="0.25">
      <c r="A106" s="12" t="s">
        <v>131</v>
      </c>
      <c r="G106" s="5"/>
      <c r="H106" s="6"/>
      <c r="I106" s="6" t="str">
        <f>CONCATENATE("&lt;desc&gt;",TRIM(A106),"&lt;/desc&gt;")</f>
        <v>&lt;desc&gt;- Largeur : 30&amp;apos;&amp;apos; x 30&amp;apos;&amp;apos;
- Hauteur : 15&amp;apos;&amp;apos;&lt;/desc&gt;</v>
      </c>
      <c r="J106" s="7"/>
    </row>
    <row r="107" spans="1:10" ht="15" customHeight="1" x14ac:dyDescent="0.25">
      <c r="A107" s="17">
        <v>20</v>
      </c>
      <c r="G107" s="5"/>
      <c r="H107" s="6"/>
      <c r="I107" s="6" t="str">
        <f>CONCATENATE("&lt;prix&gt;",TRIM(A107),"&lt;/prix&gt;")</f>
        <v>&lt;prix&gt;20&lt;/prix&gt;</v>
      </c>
      <c r="J107" s="7"/>
    </row>
    <row r="108" spans="1:10" ht="15" customHeight="1" x14ac:dyDescent="0.25">
      <c r="A108" s="1">
        <v>0</v>
      </c>
      <c r="G108" s="5"/>
      <c r="H108" s="6"/>
      <c r="I108" s="6" t="str">
        <f>CONCATENATE("&lt;vendu&gt;",TRIM(A108),"&lt;/vendu&gt;")</f>
        <v>&lt;vendu&gt;0&lt;/vendu&gt;</v>
      </c>
      <c r="J108" s="7"/>
    </row>
    <row r="109" spans="1:10" ht="15" customHeight="1" x14ac:dyDescent="0.25">
      <c r="A109" s="15"/>
      <c r="G109" s="5"/>
      <c r="H109" s="6"/>
      <c r="I109" s="6" t="s">
        <v>6</v>
      </c>
      <c r="J109" s="7"/>
    </row>
    <row r="110" spans="1:10" ht="15" customHeight="1" x14ac:dyDescent="0.25">
      <c r="A110" s="1" t="s">
        <v>47</v>
      </c>
      <c r="G110" s="5"/>
      <c r="H110" s="6"/>
      <c r="I110" s="6"/>
      <c r="J110" s="7" t="str">
        <f>CONCATENATE("&lt;image&gt;",TRIM(A110),"&lt;/image&gt;")</f>
        <v>&lt;image&gt;P1080642.jpg&lt;/image&gt;</v>
      </c>
    </row>
    <row r="111" spans="1:10" ht="15" customHeight="1" x14ac:dyDescent="0.25">
      <c r="A111" s="1" t="s">
        <v>48</v>
      </c>
      <c r="G111" s="5"/>
      <c r="H111" s="6"/>
      <c r="I111" s="6"/>
      <c r="J111" s="7" t="str">
        <f t="shared" ref="J111" si="9">CONCATENATE("&lt;image&gt;",TRIM(A111),"&lt;/image&gt;")</f>
        <v>&lt;image&gt;P1080644.jpg&lt;/image&gt;</v>
      </c>
    </row>
    <row r="112" spans="1:10" ht="15" customHeight="1" x14ac:dyDescent="0.25">
      <c r="A112" s="15"/>
      <c r="G112" s="5"/>
      <c r="H112" s="6"/>
      <c r="I112" s="6" t="s">
        <v>7</v>
      </c>
      <c r="J112" s="7"/>
    </row>
    <row r="113" spans="1:10" ht="15" customHeight="1" x14ac:dyDescent="0.25">
      <c r="A113" s="15"/>
      <c r="G113" s="5"/>
      <c r="H113" s="6" t="s">
        <v>4</v>
      </c>
      <c r="I113" s="6"/>
      <c r="J113" s="7"/>
    </row>
    <row r="114" spans="1:10" ht="15" customHeight="1" x14ac:dyDescent="0.25">
      <c r="A114" s="16">
        <f>A104+1</f>
        <v>9</v>
      </c>
      <c r="G114" s="5"/>
      <c r="H114" s="6" t="str">
        <f>CONCATENATE("&lt;article id=""",A114,"""&gt;")</f>
        <v>&lt;article id="9"&gt;</v>
      </c>
      <c r="I114" s="6"/>
      <c r="J114" s="7"/>
    </row>
    <row r="115" spans="1:10" ht="15" customHeight="1" x14ac:dyDescent="0.25">
      <c r="A115" s="13" t="s">
        <v>50</v>
      </c>
      <c r="G115" s="5"/>
      <c r="H115" s="6"/>
      <c r="I115" s="6" t="str">
        <f>CONCATENATE("&lt;titre&gt;",TRIM(A115),"&lt;/titre&gt;")</f>
        <v>&lt;titre&gt;Fer et planche à repasser&lt;/titre&gt;</v>
      </c>
      <c r="J115" s="7"/>
    </row>
    <row r="116" spans="1:10" ht="15" customHeight="1" x14ac:dyDescent="0.25">
      <c r="A116" s="12" t="s">
        <v>132</v>
      </c>
      <c r="G116" s="5"/>
      <c r="H116" s="6"/>
      <c r="I116" s="6" t="str">
        <f>CONCATENATE("&lt;desc&gt;",TRIM(A116),"&lt;/desc&gt;")</f>
        <v>&lt;desc&gt;- Fer à repasser vapeur Kenmore
- Fourni dans sa boite d&amp;apos;origine avec livret d&amp;apos;instructions
- Planche à repasser pliable avec housse&lt;/desc&gt;</v>
      </c>
      <c r="J116" s="7"/>
    </row>
    <row r="117" spans="1:10" ht="15" customHeight="1" x14ac:dyDescent="0.25">
      <c r="A117" s="17">
        <v>40</v>
      </c>
      <c r="G117" s="5"/>
      <c r="H117" s="6"/>
      <c r="I117" s="6" t="str">
        <f>CONCATENATE("&lt;prix&gt;",TRIM(A117),"&lt;/prix&gt;")</f>
        <v>&lt;prix&gt;40&lt;/prix&gt;</v>
      </c>
      <c r="J117" s="7"/>
    </row>
    <row r="118" spans="1:10" ht="15" customHeight="1" x14ac:dyDescent="0.25">
      <c r="A118" s="1">
        <v>1</v>
      </c>
      <c r="G118" s="5"/>
      <c r="H118" s="6"/>
      <c r="I118" s="6" t="str">
        <f>CONCATENATE("&lt;vendu&gt;",TRIM(A118),"&lt;/vendu&gt;")</f>
        <v>&lt;vendu&gt;1&lt;/vendu&gt;</v>
      </c>
      <c r="J118" s="7"/>
    </row>
    <row r="119" spans="1:10" ht="15" customHeight="1" x14ac:dyDescent="0.25">
      <c r="A119" s="15"/>
      <c r="G119" s="5"/>
      <c r="H119" s="6"/>
      <c r="I119" s="6" t="s">
        <v>6</v>
      </c>
      <c r="J119" s="7"/>
    </row>
    <row r="120" spans="1:10" ht="15" customHeight="1" x14ac:dyDescent="0.25">
      <c r="A120" s="1" t="s">
        <v>59</v>
      </c>
      <c r="G120" s="5"/>
      <c r="H120" s="6"/>
      <c r="I120" s="6"/>
      <c r="J120" s="7" t="str">
        <f>CONCATENATE("&lt;image&gt;",TRIM(A120),"&lt;/image&gt;")</f>
        <v>&lt;image&gt;P1080665.jpg&lt;/image&gt;</v>
      </c>
    </row>
    <row r="121" spans="1:10" ht="15" customHeight="1" x14ac:dyDescent="0.25">
      <c r="A121" s="1" t="s">
        <v>58</v>
      </c>
      <c r="G121" s="5"/>
      <c r="H121" s="6"/>
      <c r="I121" s="6"/>
      <c r="J121" s="7" t="str">
        <f t="shared" ref="J121:J122" si="10">CONCATENATE("&lt;image&gt;",TRIM(A121),"&lt;/image&gt;")</f>
        <v>&lt;image&gt;P1080664.jpg&lt;/image&gt;</v>
      </c>
    </row>
    <row r="122" spans="1:10" ht="15" customHeight="1" x14ac:dyDescent="0.25">
      <c r="A122" s="1" t="s">
        <v>57</v>
      </c>
      <c r="G122" s="5"/>
      <c r="H122" s="6"/>
      <c r="I122" s="6"/>
      <c r="J122" s="7" t="str">
        <f t="shared" si="10"/>
        <v>&lt;image&gt;P1080663.jpg&lt;/image&gt;</v>
      </c>
    </row>
    <row r="123" spans="1:10" ht="15" customHeight="1" x14ac:dyDescent="0.25">
      <c r="A123" s="1" t="s">
        <v>60</v>
      </c>
      <c r="G123" s="5"/>
      <c r="H123" s="6"/>
      <c r="I123" s="6"/>
      <c r="J123" s="7" t="str">
        <f>CONCATENATE("&lt;image&gt;",TRIM(A123),"&lt;/image&gt;")</f>
        <v>&lt;image&gt;P1080666.jpg&lt;/image&gt;</v>
      </c>
    </row>
    <row r="124" spans="1:10" ht="15" customHeight="1" x14ac:dyDescent="0.25">
      <c r="A124" s="1" t="s">
        <v>61</v>
      </c>
      <c r="G124" s="5"/>
      <c r="H124" s="6"/>
      <c r="I124" s="6"/>
      <c r="J124" s="7" t="str">
        <f t="shared" ref="J124:J125" si="11">CONCATENATE("&lt;image&gt;",TRIM(A124),"&lt;/image&gt;")</f>
        <v>&lt;image&gt;P1080680.jpg&lt;/image&gt;</v>
      </c>
    </row>
    <row r="125" spans="1:10" ht="15" customHeight="1" x14ac:dyDescent="0.25">
      <c r="A125" s="1" t="s">
        <v>62</v>
      </c>
      <c r="G125" s="5"/>
      <c r="H125" s="6"/>
      <c r="I125" s="6"/>
      <c r="J125" s="7" t="str">
        <f t="shared" si="11"/>
        <v>&lt;image&gt;P1080681.jpg&lt;/image&gt;</v>
      </c>
    </row>
    <row r="126" spans="1:10" ht="15" customHeight="1" x14ac:dyDescent="0.25">
      <c r="A126" s="15"/>
      <c r="G126" s="5"/>
      <c r="H126" s="6"/>
      <c r="I126" s="6" t="s">
        <v>7</v>
      </c>
      <c r="J126" s="7"/>
    </row>
    <row r="127" spans="1:10" ht="15" customHeight="1" x14ac:dyDescent="0.25">
      <c r="A127" s="15"/>
      <c r="G127" s="5"/>
      <c r="H127" s="6" t="s">
        <v>4</v>
      </c>
      <c r="I127" s="6"/>
      <c r="J127" s="7"/>
    </row>
    <row r="128" spans="1:10" ht="15" customHeight="1" x14ac:dyDescent="0.25">
      <c r="A128" s="16">
        <f>A114+1</f>
        <v>10</v>
      </c>
      <c r="G128" s="5"/>
      <c r="H128" s="6" t="str">
        <f>CONCATENATE("&lt;article id=""",A128,"""&gt;")</f>
        <v>&lt;article id="10"&gt;</v>
      </c>
      <c r="I128" s="6"/>
      <c r="J128" s="7"/>
    </row>
    <row r="129" spans="1:10" ht="15" customHeight="1" x14ac:dyDescent="0.25">
      <c r="A129" s="13" t="s">
        <v>51</v>
      </c>
      <c r="G129" s="5"/>
      <c r="H129" s="6"/>
      <c r="I129" s="6" t="str">
        <f>CONCATENATE("&lt;titre&gt;",TRIM(A129),"&lt;/titre&gt;")</f>
        <v>&lt;titre&gt;Meuble télévision&lt;/titre&gt;</v>
      </c>
      <c r="J129" s="7"/>
    </row>
    <row r="130" spans="1:10" ht="15" customHeight="1" x14ac:dyDescent="0.25">
      <c r="A130" s="12" t="s">
        <v>133</v>
      </c>
      <c r="G130" s="5"/>
      <c r="H130" s="6"/>
      <c r="I130" s="6" t="str">
        <f>CONCATENATE("&lt;desc&gt;",TRIM(A130),"&lt;/desc&gt;")</f>
        <v>&lt;desc&gt;- 3 espaces de rangement avec tablette
- 2 portes coulissantes
- Dimensions (largeur x profondeur x Hauteur) : 59&amp;apos;&amp;apos; x 19&amp;apos;&amp;apos; x 19&amp;apos;&amp;apos;&lt;/desc&gt;</v>
      </c>
      <c r="J130" s="7"/>
    </row>
    <row r="131" spans="1:10" ht="15" customHeight="1" x14ac:dyDescent="0.25">
      <c r="A131" s="17">
        <v>80</v>
      </c>
      <c r="G131" s="5"/>
      <c r="H131" s="6"/>
      <c r="I131" s="6" t="str">
        <f>CONCATENATE("&lt;prix&gt;",TRIM(A131),"&lt;/prix&gt;")</f>
        <v>&lt;prix&gt;80&lt;/prix&gt;</v>
      </c>
      <c r="J131" s="7"/>
    </row>
    <row r="132" spans="1:10" ht="15" customHeight="1" x14ac:dyDescent="0.25">
      <c r="A132" s="1">
        <v>1</v>
      </c>
      <c r="G132" s="5"/>
      <c r="H132" s="6"/>
      <c r="I132" s="6" t="str">
        <f>CONCATENATE("&lt;vendu&gt;",TRIM(A132),"&lt;/vendu&gt;")</f>
        <v>&lt;vendu&gt;1&lt;/vendu&gt;</v>
      </c>
      <c r="J132" s="7"/>
    </row>
    <row r="133" spans="1:10" ht="15" customHeight="1" x14ac:dyDescent="0.25">
      <c r="A133" s="15"/>
      <c r="G133" s="5"/>
      <c r="H133" s="6"/>
      <c r="I133" s="6" t="s">
        <v>6</v>
      </c>
      <c r="J133" s="7"/>
    </row>
    <row r="134" spans="1:10" ht="15" customHeight="1" x14ac:dyDescent="0.25">
      <c r="A134" s="1" t="s">
        <v>53</v>
      </c>
      <c r="G134" s="5"/>
      <c r="H134" s="6"/>
      <c r="I134" s="6"/>
      <c r="J134" s="7" t="str">
        <f>CONCATENATE("&lt;image&gt;",TRIM(A134),"&lt;/image&gt;")</f>
        <v>&lt;image&gt;P1080668.jpg&lt;/image&gt;</v>
      </c>
    </row>
    <row r="135" spans="1:10" ht="15" customHeight="1" x14ac:dyDescent="0.25">
      <c r="A135" s="1" t="s">
        <v>52</v>
      </c>
      <c r="G135" s="5"/>
      <c r="H135" s="6"/>
      <c r="I135" s="6"/>
      <c r="J135" s="7" t="str">
        <f>CONCATENATE("&lt;image&gt;",TRIM(A135),"&lt;/image&gt;")</f>
        <v>&lt;image&gt;P1080667.jpg&lt;/image&gt;</v>
      </c>
    </row>
    <row r="136" spans="1:10" ht="15" customHeight="1" x14ac:dyDescent="0.25">
      <c r="A136" s="1" t="s">
        <v>54</v>
      </c>
      <c r="G136" s="5"/>
      <c r="H136" s="6"/>
      <c r="I136" s="6"/>
      <c r="J136" s="7" t="str">
        <f t="shared" ref="J136:J138" si="12">CONCATENATE("&lt;image&gt;",TRIM(A136),"&lt;/image&gt;")</f>
        <v>&lt;image&gt;P1080689.jpg&lt;/image&gt;</v>
      </c>
    </row>
    <row r="137" spans="1:10" ht="15" customHeight="1" x14ac:dyDescent="0.25">
      <c r="A137" s="1" t="s">
        <v>55</v>
      </c>
      <c r="G137" s="5"/>
      <c r="H137" s="6"/>
      <c r="I137" s="6"/>
      <c r="J137" s="7" t="str">
        <f t="shared" si="12"/>
        <v>&lt;image&gt;P1080690.jpg&lt;/image&gt;</v>
      </c>
    </row>
    <row r="138" spans="1:10" ht="15" customHeight="1" x14ac:dyDescent="0.25">
      <c r="A138" s="1" t="s">
        <v>56</v>
      </c>
      <c r="G138" s="5"/>
      <c r="H138" s="6"/>
      <c r="I138" s="6"/>
      <c r="J138" s="7" t="str">
        <f t="shared" si="12"/>
        <v>&lt;image&gt;P1080691.jpg&lt;/image&gt;</v>
      </c>
    </row>
    <row r="139" spans="1:10" ht="15" customHeight="1" x14ac:dyDescent="0.25">
      <c r="A139" s="15"/>
      <c r="G139" s="5"/>
      <c r="H139" s="6"/>
      <c r="I139" s="6" t="s">
        <v>7</v>
      </c>
      <c r="J139" s="7"/>
    </row>
    <row r="140" spans="1:10" ht="15" customHeight="1" x14ac:dyDescent="0.25">
      <c r="A140" s="15"/>
      <c r="G140" s="5"/>
      <c r="H140" s="6" t="s">
        <v>4</v>
      </c>
      <c r="I140" s="6"/>
      <c r="J140" s="7"/>
    </row>
    <row r="141" spans="1:10" ht="15" customHeight="1" x14ac:dyDescent="0.25">
      <c r="A141" s="16">
        <f>A128+1</f>
        <v>11</v>
      </c>
      <c r="G141" s="5"/>
      <c r="H141" s="6" t="str">
        <f>CONCATENATE("&lt;article id=""",A141,"""&gt;")</f>
        <v>&lt;article id="11"&gt;</v>
      </c>
      <c r="I141" s="6"/>
      <c r="J141" s="7"/>
    </row>
    <row r="142" spans="1:10" ht="15" customHeight="1" x14ac:dyDescent="0.25">
      <c r="A142" s="13" t="s">
        <v>63</v>
      </c>
      <c r="G142" s="5"/>
      <c r="H142" s="6"/>
      <c r="I142" s="6" t="str">
        <f>CONCATENATE("&lt;titre&gt;",TRIM(A142),"&lt;/titre&gt;")</f>
        <v>&lt;titre&gt;Cafetière électrique&lt;/titre&gt;</v>
      </c>
      <c r="J142" s="7"/>
    </row>
    <row r="143" spans="1:10" ht="15" customHeight="1" x14ac:dyDescent="0.25">
      <c r="A143" s="12" t="s">
        <v>134</v>
      </c>
      <c r="G143" s="5"/>
      <c r="H143" s="6"/>
      <c r="I143" s="6" t="str">
        <f>CONCATENATE("&lt;desc&gt;",TRIM(A143),"&lt;/desc&gt;")</f>
        <v>&lt;desc&gt;- Marque Cuisinart
- Horloge
- Programmable 
- Fontion néttoyage
- Fonction de maintien au chaud
- Fournit avec livret d&amp;apos;instruction&lt;/desc&gt;</v>
      </c>
      <c r="J143" s="7"/>
    </row>
    <row r="144" spans="1:10" ht="15" customHeight="1" x14ac:dyDescent="0.25">
      <c r="A144" s="17">
        <v>35</v>
      </c>
      <c r="G144" s="5"/>
      <c r="H144" s="6"/>
      <c r="I144" s="6" t="str">
        <f>CONCATENATE("&lt;prix&gt;",TRIM(A144),"&lt;/prix&gt;")</f>
        <v>&lt;prix&gt;35&lt;/prix&gt;</v>
      </c>
      <c r="J144" s="7"/>
    </row>
    <row r="145" spans="1:10" ht="15" customHeight="1" x14ac:dyDescent="0.25">
      <c r="A145" s="1">
        <v>0</v>
      </c>
      <c r="G145" s="5"/>
      <c r="H145" s="6"/>
      <c r="I145" s="6" t="str">
        <f>CONCATENATE("&lt;vendu&gt;",TRIM(A145),"&lt;/vendu&gt;")</f>
        <v>&lt;vendu&gt;0&lt;/vendu&gt;</v>
      </c>
      <c r="J145" s="7"/>
    </row>
    <row r="146" spans="1:10" ht="15" customHeight="1" x14ac:dyDescent="0.25">
      <c r="A146" s="15"/>
      <c r="G146" s="5"/>
      <c r="H146" s="6"/>
      <c r="I146" s="6" t="s">
        <v>6</v>
      </c>
      <c r="J146" s="7"/>
    </row>
    <row r="147" spans="1:10" ht="15" customHeight="1" x14ac:dyDescent="0.25">
      <c r="A147" s="1" t="s">
        <v>64</v>
      </c>
      <c r="G147" s="5"/>
      <c r="H147" s="6"/>
      <c r="I147" s="6"/>
      <c r="J147" s="7" t="str">
        <f>CONCATENATE("&lt;image&gt;",TRIM(A147),"&lt;/image&gt;")</f>
        <v>&lt;image&gt;P1080659.jpg&lt;/image&gt;</v>
      </c>
    </row>
    <row r="148" spans="1:10" ht="15" customHeight="1" x14ac:dyDescent="0.25">
      <c r="A148" s="1" t="s">
        <v>65</v>
      </c>
      <c r="G148" s="5"/>
      <c r="H148" s="6"/>
      <c r="I148" s="6"/>
      <c r="J148" s="7" t="str">
        <f t="shared" ref="J148:J150" si="13">CONCATENATE("&lt;image&gt;",TRIM(A148),"&lt;/image&gt;")</f>
        <v>&lt;image&gt;P1080660.jpg&lt;/image&gt;</v>
      </c>
    </row>
    <row r="149" spans="1:10" ht="15" customHeight="1" x14ac:dyDescent="0.25">
      <c r="A149" s="1" t="s">
        <v>66</v>
      </c>
      <c r="G149" s="5"/>
      <c r="H149" s="6"/>
      <c r="I149" s="6"/>
      <c r="J149" s="7" t="str">
        <f t="shared" si="13"/>
        <v>&lt;image&gt;P1080661.jpg&lt;/image&gt;</v>
      </c>
    </row>
    <row r="150" spans="1:10" ht="15" customHeight="1" x14ac:dyDescent="0.25">
      <c r="A150" s="1" t="s">
        <v>67</v>
      </c>
      <c r="G150" s="5"/>
      <c r="H150" s="6"/>
      <c r="I150" s="6"/>
      <c r="J150" s="7" t="str">
        <f t="shared" si="13"/>
        <v>&lt;image&gt;P1080662.jpg&lt;/image&gt;</v>
      </c>
    </row>
    <row r="151" spans="1:10" ht="15" customHeight="1" x14ac:dyDescent="0.25">
      <c r="A151" s="15"/>
      <c r="G151" s="5"/>
      <c r="H151" s="6"/>
      <c r="I151" s="6" t="s">
        <v>7</v>
      </c>
      <c r="J151" s="7"/>
    </row>
    <row r="152" spans="1:10" ht="15" customHeight="1" x14ac:dyDescent="0.25">
      <c r="A152" s="15"/>
      <c r="G152" s="5"/>
      <c r="H152" s="6" t="s">
        <v>4</v>
      </c>
      <c r="I152" s="6"/>
      <c r="J152" s="7"/>
    </row>
    <row r="153" spans="1:10" ht="15" customHeight="1" x14ac:dyDescent="0.25">
      <c r="A153" s="16">
        <f>A141+1</f>
        <v>12</v>
      </c>
      <c r="G153" s="5"/>
      <c r="H153" s="6" t="str">
        <f>CONCATENATE("&lt;article id=""",A153,"""&gt;")</f>
        <v>&lt;article id="12"&gt;</v>
      </c>
      <c r="I153" s="6"/>
      <c r="J153" s="7"/>
    </row>
    <row r="154" spans="1:10" ht="15" customHeight="1" x14ac:dyDescent="0.25">
      <c r="A154" s="13" t="s">
        <v>68</v>
      </c>
      <c r="G154" s="5"/>
      <c r="H154" s="6"/>
      <c r="I154" s="6" t="str">
        <f>CONCATENATE("&lt;titre&gt;",TRIM(A154),"&lt;/titre&gt;")</f>
        <v>&lt;titre&gt;Ventilateur sur pied&lt;/titre&gt;</v>
      </c>
      <c r="J154" s="7"/>
    </row>
    <row r="155" spans="1:10" ht="15" customHeight="1" x14ac:dyDescent="0.25">
      <c r="A155" s="12" t="s">
        <v>135</v>
      </c>
      <c r="G155" s="5"/>
      <c r="H155" s="6"/>
      <c r="I155" s="6" t="str">
        <f>CONCATENATE("&lt;desc&gt;",TRIM(A155),"&lt;/desc&gt;")</f>
        <v>&lt;desc&gt;- Marque Intertek
- Hélice de 15&amp;apos;&amp;apos;
- 3 vitesses
- Fonction d&amp;apos;oscillation
- Hauteur réglable entre 32&amp;apos;&amp;apos; et 38&amp;apos;&amp;apos;&lt;/desc&gt;</v>
      </c>
      <c r="J155" s="7"/>
    </row>
    <row r="156" spans="1:10" ht="15" customHeight="1" x14ac:dyDescent="0.25">
      <c r="A156" s="17">
        <v>15</v>
      </c>
      <c r="G156" s="5"/>
      <c r="H156" s="6"/>
      <c r="I156" s="6" t="str">
        <f>CONCATENATE("&lt;prix&gt;",TRIM(A156),"&lt;/prix&gt;")</f>
        <v>&lt;prix&gt;15&lt;/prix&gt;</v>
      </c>
      <c r="J156" s="7"/>
    </row>
    <row r="157" spans="1:10" ht="15" customHeight="1" x14ac:dyDescent="0.25">
      <c r="A157" s="1">
        <v>1</v>
      </c>
      <c r="G157" s="5"/>
      <c r="H157" s="6"/>
      <c r="I157" s="6" t="str">
        <f>CONCATENATE("&lt;vendu&gt;",TRIM(A157),"&lt;/vendu&gt;")</f>
        <v>&lt;vendu&gt;1&lt;/vendu&gt;</v>
      </c>
      <c r="J157" s="7"/>
    </row>
    <row r="158" spans="1:10" ht="15" customHeight="1" x14ac:dyDescent="0.25">
      <c r="A158" s="15"/>
      <c r="G158" s="5"/>
      <c r="H158" s="6"/>
      <c r="I158" s="6" t="s">
        <v>6</v>
      </c>
      <c r="J158" s="7"/>
    </row>
    <row r="159" spans="1:10" ht="15" customHeight="1" x14ac:dyDescent="0.25">
      <c r="A159" s="1" t="s">
        <v>71</v>
      </c>
      <c r="G159" s="5"/>
      <c r="H159" s="6"/>
      <c r="I159" s="6"/>
      <c r="J159" s="7" t="str">
        <f>CONCATENATE("&lt;image&gt;",TRIM(A159),"&lt;/image&gt;")</f>
        <v>&lt;image&gt;P1080669.jpg&lt;/image&gt;</v>
      </c>
    </row>
    <row r="160" spans="1:10" ht="15" customHeight="1" x14ac:dyDescent="0.25">
      <c r="A160" s="1" t="s">
        <v>72</v>
      </c>
      <c r="G160" s="5"/>
      <c r="H160" s="6"/>
      <c r="I160" s="6"/>
      <c r="J160" s="7" t="str">
        <f t="shared" ref="J160:J161" si="14">CONCATENATE("&lt;image&gt;",TRIM(A160),"&lt;/image&gt;")</f>
        <v>&lt;image&gt;P1080670.jpg&lt;/image&gt;</v>
      </c>
    </row>
    <row r="161" spans="1:10" ht="15" customHeight="1" x14ac:dyDescent="0.25">
      <c r="A161" s="1" t="s">
        <v>73</v>
      </c>
      <c r="G161" s="5"/>
      <c r="H161" s="6"/>
      <c r="I161" s="6"/>
      <c r="J161" s="7" t="str">
        <f t="shared" si="14"/>
        <v>&lt;image&gt;P1080671.jpg&lt;/image&gt;</v>
      </c>
    </row>
    <row r="162" spans="1:10" ht="15" customHeight="1" x14ac:dyDescent="0.25">
      <c r="A162" s="15"/>
      <c r="G162" s="5"/>
      <c r="H162" s="6"/>
      <c r="I162" s="6" t="s">
        <v>7</v>
      </c>
      <c r="J162" s="7"/>
    </row>
    <row r="163" spans="1:10" ht="15" customHeight="1" x14ac:dyDescent="0.25">
      <c r="A163" s="15"/>
      <c r="G163" s="5"/>
      <c r="H163" s="6" t="s">
        <v>4</v>
      </c>
      <c r="I163" s="6"/>
      <c r="J163" s="7"/>
    </row>
    <row r="164" spans="1:10" ht="15" customHeight="1" x14ac:dyDescent="0.25">
      <c r="A164" s="16">
        <f>A153+1</f>
        <v>13</v>
      </c>
      <c r="G164" s="5"/>
      <c r="H164" s="6" t="str">
        <f>CONCATENATE("&lt;article id=""",A164,"""&gt;")</f>
        <v>&lt;article id="13"&gt;</v>
      </c>
      <c r="I164" s="6"/>
      <c r="J164" s="7"/>
    </row>
    <row r="165" spans="1:10" ht="15" customHeight="1" x14ac:dyDescent="0.25">
      <c r="A165" s="13" t="s">
        <v>70</v>
      </c>
      <c r="G165" s="5"/>
      <c r="H165" s="6"/>
      <c r="I165" s="6" t="str">
        <f>CONCATENATE("&lt;titre&gt;",TRIM(A165),"&lt;/titre&gt;")</f>
        <v>&lt;titre&gt;Ventilateur de fenêtre&lt;/titre&gt;</v>
      </c>
      <c r="J165" s="7"/>
    </row>
    <row r="166" spans="1:10" ht="15" customHeight="1" x14ac:dyDescent="0.25">
      <c r="A166" s="12" t="s">
        <v>136</v>
      </c>
      <c r="G166" s="5"/>
      <c r="H166" s="6"/>
      <c r="I166" s="6" t="str">
        <f>CONCATENATE("&lt;desc&gt;",TRIM(A166),"&lt;/desc&gt;")</f>
        <v>&lt;desc&gt;- Marque Noma
- Thermostat électronique réglable
- 3 vitesses
- 3 mode de ventilation (entrée d&amp;apos;air, sortie d&amp;apos;air ou changement d&amp;apos;air)
- Télécommande
- Rallonges pour s&amp;apos;adapter aux différents types de fenêtre
- Pieds amovible pour poser au sol
- Founi avec livret d&amp;apos;instructions&lt;/desc&gt;</v>
      </c>
      <c r="J166" s="7"/>
    </row>
    <row r="167" spans="1:10" ht="15" customHeight="1" x14ac:dyDescent="0.25">
      <c r="A167" s="17">
        <v>20</v>
      </c>
      <c r="G167" s="5"/>
      <c r="H167" s="6"/>
      <c r="I167" s="6" t="str">
        <f>CONCATENATE("&lt;prix&gt;",TRIM(A167),"&lt;/prix&gt;")</f>
        <v>&lt;prix&gt;20&lt;/prix&gt;</v>
      </c>
      <c r="J167" s="7"/>
    </row>
    <row r="168" spans="1:10" ht="15" customHeight="1" x14ac:dyDescent="0.25">
      <c r="A168" s="1">
        <v>1</v>
      </c>
      <c r="G168" s="5"/>
      <c r="H168" s="6"/>
      <c r="I168" s="6" t="str">
        <f>CONCATENATE("&lt;vendu&gt;",TRIM(A168),"&lt;/vendu&gt;")</f>
        <v>&lt;vendu&gt;1&lt;/vendu&gt;</v>
      </c>
      <c r="J168" s="7"/>
    </row>
    <row r="169" spans="1:10" ht="15" customHeight="1" x14ac:dyDescent="0.25">
      <c r="A169" s="15"/>
      <c r="G169" s="5"/>
      <c r="H169" s="6"/>
      <c r="I169" s="6" t="s">
        <v>6</v>
      </c>
      <c r="J169" s="7"/>
    </row>
    <row r="170" spans="1:10" ht="15" customHeight="1" x14ac:dyDescent="0.25">
      <c r="A170" s="1" t="s">
        <v>74</v>
      </c>
      <c r="G170" s="5"/>
      <c r="H170" s="6"/>
      <c r="I170" s="6"/>
      <c r="J170" s="7" t="str">
        <f>CONCATENATE("&lt;image&gt;",TRIM(A170),"&lt;/image&gt;")</f>
        <v>&lt;image&gt;P1080672.jpg&lt;/image&gt;</v>
      </c>
    </row>
    <row r="171" spans="1:10" ht="15" customHeight="1" x14ac:dyDescent="0.25">
      <c r="A171" s="1" t="s">
        <v>75</v>
      </c>
      <c r="G171" s="5"/>
      <c r="H171" s="6"/>
      <c r="I171" s="6"/>
      <c r="J171" s="7" t="str">
        <f t="shared" ref="J171:J173" si="15">CONCATENATE("&lt;image&gt;",TRIM(A171),"&lt;/image&gt;")</f>
        <v>&lt;image&gt;P1080673.jpg&lt;/image&gt;</v>
      </c>
    </row>
    <row r="172" spans="1:10" ht="15" customHeight="1" x14ac:dyDescent="0.25">
      <c r="A172" s="1" t="s">
        <v>76</v>
      </c>
      <c r="G172" s="5"/>
      <c r="H172" s="6"/>
      <c r="I172" s="6"/>
      <c r="J172" s="7" t="str">
        <f t="shared" si="15"/>
        <v>&lt;image&gt;P1080674.jpg&lt;/image&gt;</v>
      </c>
    </row>
    <row r="173" spans="1:10" ht="15" customHeight="1" x14ac:dyDescent="0.25">
      <c r="A173" s="1" t="s">
        <v>77</v>
      </c>
      <c r="G173" s="5"/>
      <c r="H173" s="6"/>
      <c r="I173" s="6"/>
      <c r="J173" s="7" t="str">
        <f t="shared" si="15"/>
        <v>&lt;image&gt;P1080675.jpg&lt;/image&gt;</v>
      </c>
    </row>
    <row r="174" spans="1:10" ht="15" customHeight="1" x14ac:dyDescent="0.25">
      <c r="A174" s="15"/>
      <c r="G174" s="5"/>
      <c r="H174" s="6"/>
      <c r="I174" s="6" t="s">
        <v>7</v>
      </c>
      <c r="J174" s="7"/>
    </row>
    <row r="175" spans="1:10" ht="15" customHeight="1" x14ac:dyDescent="0.25">
      <c r="A175" s="15"/>
      <c r="G175" s="5"/>
      <c r="H175" s="6" t="s">
        <v>4</v>
      </c>
      <c r="I175" s="6"/>
      <c r="J175" s="7"/>
    </row>
    <row r="176" spans="1:10" ht="15" customHeight="1" x14ac:dyDescent="0.25">
      <c r="A176" s="16">
        <f>A164+1</f>
        <v>14</v>
      </c>
      <c r="G176" s="5"/>
      <c r="H176" s="6" t="str">
        <f>CONCATENATE("&lt;article id=""",A176,"""&gt;")</f>
        <v>&lt;article id="14"&gt;</v>
      </c>
      <c r="I176" s="6"/>
      <c r="J176" s="7"/>
    </row>
    <row r="177" spans="1:10" ht="15" customHeight="1" x14ac:dyDescent="0.25">
      <c r="A177" s="13" t="s">
        <v>69</v>
      </c>
      <c r="G177" s="5"/>
      <c r="H177" s="6"/>
      <c r="I177" s="6" t="str">
        <f>CONCATENATE("&lt;titre&gt;",TRIM(A177),"&lt;/titre&gt;")</f>
        <v>&lt;titre&gt;Ventilateur tour&lt;/titre&gt;</v>
      </c>
      <c r="J177" s="7"/>
    </row>
    <row r="178" spans="1:10" ht="15" customHeight="1" x14ac:dyDescent="0.25">
      <c r="A178" s="12" t="s">
        <v>137</v>
      </c>
      <c r="G178" s="5"/>
      <c r="H178" s="6"/>
      <c r="I178" s="6" t="str">
        <f>CONCATENATE("&lt;desc&gt;",TRIM(A178),"&lt;/desc&gt;")</f>
        <v>&lt;desc&gt;- Marque Duracraft
- 3 vitesses
- Fonction d&amp;apos;oscillation
- Hauteur 31&amp;apos;&amp;apos;&lt;/desc&gt;</v>
      </c>
      <c r="J178" s="7"/>
    </row>
    <row r="179" spans="1:10" ht="15" customHeight="1" x14ac:dyDescent="0.25">
      <c r="A179" s="17">
        <v>15</v>
      </c>
      <c r="G179" s="5"/>
      <c r="H179" s="6"/>
      <c r="I179" s="6" t="str">
        <f>CONCATENATE("&lt;prix&gt;",TRIM(A179),"&lt;/prix&gt;")</f>
        <v>&lt;prix&gt;15&lt;/prix&gt;</v>
      </c>
      <c r="J179" s="7"/>
    </row>
    <row r="180" spans="1:10" ht="15" customHeight="1" x14ac:dyDescent="0.25">
      <c r="A180" s="1">
        <v>1</v>
      </c>
      <c r="G180" s="5"/>
      <c r="H180" s="6"/>
      <c r="I180" s="6" t="str">
        <f>CONCATENATE("&lt;vendu&gt;",TRIM(A180),"&lt;/vendu&gt;")</f>
        <v>&lt;vendu&gt;1&lt;/vendu&gt;</v>
      </c>
      <c r="J180" s="7"/>
    </row>
    <row r="181" spans="1:10" ht="15" customHeight="1" x14ac:dyDescent="0.25">
      <c r="A181" s="15"/>
      <c r="G181" s="5"/>
      <c r="H181" s="6"/>
      <c r="I181" s="6" t="s">
        <v>6</v>
      </c>
      <c r="J181" s="7"/>
    </row>
    <row r="182" spans="1:10" ht="15" customHeight="1" x14ac:dyDescent="0.25">
      <c r="A182" s="1" t="s">
        <v>78</v>
      </c>
      <c r="G182" s="5"/>
      <c r="H182" s="6"/>
      <c r="I182" s="6"/>
      <c r="J182" s="7" t="str">
        <f>CONCATENATE("&lt;image&gt;",TRIM(A182),"&lt;/image&gt;")</f>
        <v>&lt;image&gt;P1080676.jpg&lt;/image&gt;</v>
      </c>
    </row>
    <row r="183" spans="1:10" ht="15" customHeight="1" x14ac:dyDescent="0.25">
      <c r="A183" s="1" t="s">
        <v>79</v>
      </c>
      <c r="G183" s="5"/>
      <c r="H183" s="6"/>
      <c r="I183" s="6"/>
      <c r="J183" s="7" t="str">
        <f t="shared" ref="J183:J185" si="16">CONCATENATE("&lt;image&gt;",TRIM(A183),"&lt;/image&gt;")</f>
        <v>&lt;image&gt;P1080677.jpg&lt;/image&gt;</v>
      </c>
    </row>
    <row r="184" spans="1:10" ht="15" customHeight="1" x14ac:dyDescent="0.25">
      <c r="A184" s="1" t="s">
        <v>80</v>
      </c>
      <c r="G184" s="5"/>
      <c r="H184" s="6"/>
      <c r="I184" s="6"/>
      <c r="J184" s="7" t="str">
        <f t="shared" si="16"/>
        <v>&lt;image&gt;P1080678.jpg&lt;/image&gt;</v>
      </c>
    </row>
    <row r="185" spans="1:10" ht="15" customHeight="1" x14ac:dyDescent="0.25">
      <c r="A185" s="1" t="s">
        <v>81</v>
      </c>
      <c r="G185" s="5"/>
      <c r="H185" s="6"/>
      <c r="I185" s="6"/>
      <c r="J185" s="7" t="str">
        <f t="shared" si="16"/>
        <v>&lt;image&gt;P1080679.jpg&lt;/image&gt;</v>
      </c>
    </row>
    <row r="186" spans="1:10" ht="15" customHeight="1" x14ac:dyDescent="0.25">
      <c r="A186" s="15"/>
      <c r="G186" s="5"/>
      <c r="H186" s="6"/>
      <c r="I186" s="6" t="s">
        <v>7</v>
      </c>
      <c r="J186" s="7"/>
    </row>
    <row r="187" spans="1:10" ht="15" customHeight="1" x14ac:dyDescent="0.25">
      <c r="A187" s="15"/>
      <c r="G187" s="5"/>
      <c r="H187" s="6" t="s">
        <v>4</v>
      </c>
      <c r="I187" s="6"/>
      <c r="J187" s="7"/>
    </row>
    <row r="188" spans="1:10" ht="15" customHeight="1" x14ac:dyDescent="0.25">
      <c r="A188" s="16">
        <f>A176+1</f>
        <v>15</v>
      </c>
      <c r="G188" s="5"/>
      <c r="H188" s="6" t="str">
        <f>CONCATENATE("&lt;article id=""",A188,"""&gt;")</f>
        <v>&lt;article id="15"&gt;</v>
      </c>
      <c r="I188" s="6"/>
      <c r="J188" s="7"/>
    </row>
    <row r="189" spans="1:10" ht="15" customHeight="1" x14ac:dyDescent="0.25">
      <c r="A189" s="13" t="s">
        <v>138</v>
      </c>
      <c r="G189" s="5"/>
      <c r="H189" s="6"/>
      <c r="I189" s="6" t="str">
        <f>CONCATENATE("&lt;titre&gt;",TRIM(A189),"&lt;/titre&gt;")</f>
        <v>&lt;titre&gt;Table d&amp;apos;extérieur&lt;/titre&gt;</v>
      </c>
      <c r="J189" s="7"/>
    </row>
    <row r="190" spans="1:10" ht="15" customHeight="1" x14ac:dyDescent="0.25">
      <c r="A190" s="12" t="s">
        <v>139</v>
      </c>
      <c r="G190" s="5"/>
      <c r="H190" s="6"/>
      <c r="I190" s="6" t="str">
        <f>CONCATENATE("&lt;desc&gt;",TRIM(A190),"&lt;/desc&gt;")</f>
        <v>&lt;desc&gt;- Dessus en verre
- Diamètre : 24&amp;apos;&amp;apos;
- Hauteur : 28&amp;apos;&amp;apos;&lt;/desc&gt;</v>
      </c>
      <c r="J190" s="7"/>
    </row>
    <row r="191" spans="1:10" ht="15" customHeight="1" x14ac:dyDescent="0.25">
      <c r="A191" s="17">
        <v>15</v>
      </c>
      <c r="G191" s="5"/>
      <c r="H191" s="6"/>
      <c r="I191" s="6" t="str">
        <f>CONCATENATE("&lt;prix&gt;",TRIM(A191),"&lt;/prix&gt;")</f>
        <v>&lt;prix&gt;15&lt;/prix&gt;</v>
      </c>
      <c r="J191" s="7"/>
    </row>
    <row r="192" spans="1:10" ht="15" customHeight="1" x14ac:dyDescent="0.25">
      <c r="A192" s="1">
        <v>1</v>
      </c>
      <c r="G192" s="5"/>
      <c r="H192" s="6"/>
      <c r="I192" s="6" t="str">
        <f>CONCATENATE("&lt;vendu&gt;",TRIM(A192),"&lt;/vendu&gt;")</f>
        <v>&lt;vendu&gt;1&lt;/vendu&gt;</v>
      </c>
      <c r="J192" s="7"/>
    </row>
    <row r="193" spans="1:10" ht="15" customHeight="1" x14ac:dyDescent="0.25">
      <c r="A193" s="15"/>
      <c r="G193" s="5"/>
      <c r="H193" s="6"/>
      <c r="I193" s="6" t="s">
        <v>6</v>
      </c>
      <c r="J193" s="7"/>
    </row>
    <row r="194" spans="1:10" ht="15" customHeight="1" x14ac:dyDescent="0.25">
      <c r="A194" s="1" t="s">
        <v>87</v>
      </c>
      <c r="G194" s="5"/>
      <c r="H194" s="6"/>
      <c r="I194" s="6"/>
      <c r="J194" s="7" t="str">
        <f t="shared" ref="J194:J195" si="17">CONCATENATE("&lt;image&gt;",TRIM(A194),"&lt;/image&gt;")</f>
        <v>&lt;image&gt;P1080697.jpg&lt;/image&gt;</v>
      </c>
    </row>
    <row r="195" spans="1:10" ht="15" customHeight="1" x14ac:dyDescent="0.25">
      <c r="A195" s="1" t="s">
        <v>88</v>
      </c>
      <c r="G195" s="5"/>
      <c r="H195" s="6"/>
      <c r="I195" s="6"/>
      <c r="J195" s="7" t="str">
        <f t="shared" si="17"/>
        <v>&lt;image&gt;P1080698.jpg&lt;/image&gt;</v>
      </c>
    </row>
    <row r="196" spans="1:10" ht="15" customHeight="1" x14ac:dyDescent="0.25">
      <c r="A196" s="15"/>
      <c r="G196" s="5"/>
      <c r="H196" s="6"/>
      <c r="I196" s="6" t="s">
        <v>7</v>
      </c>
      <c r="J196" s="7"/>
    </row>
    <row r="197" spans="1:10" ht="15" customHeight="1" x14ac:dyDescent="0.25">
      <c r="A197" s="15"/>
      <c r="G197" s="5"/>
      <c r="H197" s="6" t="s">
        <v>4</v>
      </c>
      <c r="I197" s="6"/>
      <c r="J197" s="7"/>
    </row>
    <row r="198" spans="1:10" ht="15" customHeight="1" x14ac:dyDescent="0.25">
      <c r="A198" s="16">
        <f>A188+1</f>
        <v>16</v>
      </c>
      <c r="G198" s="5"/>
      <c r="H198" s="6" t="str">
        <f>CONCATENATE("&lt;article id=""",A198,"""&gt;")</f>
        <v>&lt;article id="16"&gt;</v>
      </c>
      <c r="I198" s="6"/>
      <c r="J198" s="7"/>
    </row>
    <row r="199" spans="1:10" ht="15" customHeight="1" x14ac:dyDescent="0.25">
      <c r="A199" s="13" t="s">
        <v>112</v>
      </c>
      <c r="G199" s="5"/>
      <c r="H199" s="6"/>
      <c r="I199" s="6" t="str">
        <f>CONCATENATE("&lt;titre&gt;",TRIM(A199),"&lt;/titre&gt;")</f>
        <v>&lt;titre&gt;Appareil à raclette-grill&lt;/titre&gt;</v>
      </c>
      <c r="J199" s="7"/>
    </row>
    <row r="200" spans="1:10" ht="15" customHeight="1" x14ac:dyDescent="0.25">
      <c r="A200" s="12" t="s">
        <v>140</v>
      </c>
      <c r="G200" s="5"/>
      <c r="H200" s="6"/>
      <c r="I200" s="6" t="str">
        <f>CONCATENATE("&lt;desc&gt;",TRIM(A200),"&lt;/desc&gt;")</f>
        <v>&lt;desc&gt;- Marque Swissmar Matterhorn
- Peu servi, très bon état
- 8 poêles à revêtement antiadhésif 
- 8 spatules resistantes à la chaleur
- Le dessus est un grill avec revêtement antiadhésif
- Fourni dans sa boite d&amp;apos;origine avec le livret d&amp;apos;instruction&lt;/desc&gt;</v>
      </c>
      <c r="J200" s="7"/>
    </row>
    <row r="201" spans="1:10" ht="15" customHeight="1" x14ac:dyDescent="0.25">
      <c r="A201" s="17">
        <v>30</v>
      </c>
      <c r="G201" s="5"/>
      <c r="H201" s="6"/>
      <c r="I201" s="6" t="str">
        <f>CONCATENATE("&lt;prix&gt;",TRIM(A201),"&lt;/prix&gt;")</f>
        <v>&lt;prix&gt;30&lt;/prix&gt;</v>
      </c>
      <c r="J201" s="7"/>
    </row>
    <row r="202" spans="1:10" ht="15" customHeight="1" x14ac:dyDescent="0.25">
      <c r="A202" s="1">
        <v>0</v>
      </c>
      <c r="G202" s="5"/>
      <c r="H202" s="6"/>
      <c r="I202" s="6" t="str">
        <f>CONCATENATE("&lt;vendu&gt;",TRIM(A202),"&lt;/vendu&gt;")</f>
        <v>&lt;vendu&gt;0&lt;/vendu&gt;</v>
      </c>
      <c r="J202" s="7"/>
    </row>
    <row r="203" spans="1:10" ht="15" customHeight="1" x14ac:dyDescent="0.25">
      <c r="A203" s="15"/>
      <c r="G203" s="5"/>
      <c r="H203" s="6"/>
      <c r="I203" s="6" t="s">
        <v>6</v>
      </c>
      <c r="J203" s="7"/>
    </row>
    <row r="204" spans="1:10" ht="15" customHeight="1" x14ac:dyDescent="0.25">
      <c r="A204" s="1" t="s">
        <v>89</v>
      </c>
      <c r="G204" s="5"/>
      <c r="H204" s="6"/>
      <c r="I204" s="6"/>
      <c r="J204" s="7" t="str">
        <f>CONCATENATE("&lt;image&gt;",TRIM(A204),"&lt;/image&gt;")</f>
        <v>&lt;image&gt;P1080714.jpg&lt;/image&gt;</v>
      </c>
    </row>
    <row r="205" spans="1:10" ht="15" customHeight="1" x14ac:dyDescent="0.25">
      <c r="A205" s="1" t="s">
        <v>90</v>
      </c>
      <c r="G205" s="5"/>
      <c r="H205" s="6"/>
      <c r="I205" s="6"/>
      <c r="J205" s="7" t="str">
        <f t="shared" ref="J205:J206" si="18">CONCATENATE("&lt;image&gt;",TRIM(A205),"&lt;/image&gt;")</f>
        <v>&lt;image&gt;P1080715.jpg&lt;/image&gt;</v>
      </c>
    </row>
    <row r="206" spans="1:10" ht="15" customHeight="1" x14ac:dyDescent="0.25">
      <c r="A206" s="1" t="s">
        <v>91</v>
      </c>
      <c r="G206" s="5"/>
      <c r="H206" s="6"/>
      <c r="I206" s="6"/>
      <c r="J206" s="7" t="str">
        <f t="shared" si="18"/>
        <v>&lt;image&gt;P1080717.jpg&lt;/image&gt;</v>
      </c>
    </row>
    <row r="207" spans="1:10" ht="15" customHeight="1" x14ac:dyDescent="0.25">
      <c r="A207" s="15"/>
      <c r="G207" s="5"/>
      <c r="H207" s="6"/>
      <c r="I207" s="6" t="s">
        <v>7</v>
      </c>
      <c r="J207" s="7"/>
    </row>
    <row r="208" spans="1:10" ht="15" customHeight="1" x14ac:dyDescent="0.25">
      <c r="A208" s="15"/>
      <c r="G208" s="5"/>
      <c r="H208" s="6" t="s">
        <v>4</v>
      </c>
      <c r="I208" s="6"/>
      <c r="J208" s="7"/>
    </row>
    <row r="209" spans="1:10" ht="15" customHeight="1" x14ac:dyDescent="0.25">
      <c r="A209" s="16">
        <f>A198+1</f>
        <v>17</v>
      </c>
      <c r="G209" s="5"/>
      <c r="H209" s="6" t="str">
        <f>CONCATENATE("&lt;article id=""",A209,"""&gt;")</f>
        <v>&lt;article id="17"&gt;</v>
      </c>
      <c r="I209" s="6"/>
      <c r="J209" s="7"/>
    </row>
    <row r="210" spans="1:10" ht="15" customHeight="1" x14ac:dyDescent="0.25">
      <c r="A210" s="13" t="s">
        <v>92</v>
      </c>
      <c r="G210" s="5"/>
      <c r="H210" s="6"/>
      <c r="I210" s="6" t="str">
        <f>CONCATENATE("&lt;titre&gt;",TRIM(A210),"&lt;/titre&gt;")</f>
        <v>&lt;titre&gt;Lampe&lt;/titre&gt;</v>
      </c>
      <c r="J210" s="7"/>
    </row>
    <row r="211" spans="1:10" ht="15" customHeight="1" x14ac:dyDescent="0.25">
      <c r="A211" s="12" t="s">
        <v>113</v>
      </c>
      <c r="G211" s="5"/>
      <c r="H211" s="6"/>
      <c r="I211" s="6" t="str">
        <f>CONCATENATE("&lt;desc&gt;",TRIM(A211),"&lt;/desc&gt;")</f>
        <v>&lt;desc&gt;- Fourni avec 3 ampoules basse consommation
- Hauteur : 6 pieds&lt;/desc&gt;</v>
      </c>
      <c r="J211" s="7"/>
    </row>
    <row r="212" spans="1:10" ht="15" customHeight="1" x14ac:dyDescent="0.25">
      <c r="A212" s="17">
        <v>35</v>
      </c>
      <c r="G212" s="5"/>
      <c r="H212" s="6"/>
      <c r="I212" s="6" t="str">
        <f>CONCATENATE("&lt;prix&gt;",TRIM(A212),"&lt;/prix&gt;")</f>
        <v>&lt;prix&gt;35&lt;/prix&gt;</v>
      </c>
      <c r="J212" s="7"/>
    </row>
    <row r="213" spans="1:10" ht="15" customHeight="1" x14ac:dyDescent="0.25">
      <c r="A213" s="1">
        <v>1</v>
      </c>
      <c r="G213" s="5"/>
      <c r="H213" s="6"/>
      <c r="I213" s="6" t="str">
        <f>CONCATENATE("&lt;vendu&gt;",TRIM(A213),"&lt;/vendu&gt;")</f>
        <v>&lt;vendu&gt;1&lt;/vendu&gt;</v>
      </c>
      <c r="J213" s="7"/>
    </row>
    <row r="214" spans="1:10" ht="15" customHeight="1" x14ac:dyDescent="0.25">
      <c r="A214" s="15"/>
      <c r="G214" s="5"/>
      <c r="H214" s="6"/>
      <c r="I214" s="6" t="s">
        <v>6</v>
      </c>
      <c r="J214" s="7"/>
    </row>
    <row r="215" spans="1:10" ht="15" customHeight="1" x14ac:dyDescent="0.25">
      <c r="A215" s="1" t="s">
        <v>93</v>
      </c>
      <c r="G215" s="5"/>
      <c r="H215" s="6"/>
      <c r="I215" s="6"/>
      <c r="J215" s="7" t="str">
        <f>CONCATENATE("&lt;image&gt;",TRIM(A215),"&lt;/image&gt;")</f>
        <v>&lt;image&gt;P1080711.jpg&lt;/image&gt;</v>
      </c>
    </row>
    <row r="216" spans="1:10" ht="15" customHeight="1" x14ac:dyDescent="0.25">
      <c r="A216" s="1" t="s">
        <v>94</v>
      </c>
      <c r="G216" s="5"/>
      <c r="H216" s="6"/>
      <c r="I216" s="6"/>
      <c r="J216" s="7" t="str">
        <f t="shared" ref="J216" si="19">CONCATENATE("&lt;image&gt;",TRIM(A216),"&lt;/image&gt;")</f>
        <v>&lt;image&gt;P1080712.jpg&lt;/image&gt;</v>
      </c>
    </row>
    <row r="217" spans="1:10" ht="15" customHeight="1" x14ac:dyDescent="0.25">
      <c r="A217" s="15"/>
      <c r="G217" s="5"/>
      <c r="H217" s="6"/>
      <c r="I217" s="6" t="s">
        <v>7</v>
      </c>
      <c r="J217" s="7"/>
    </row>
    <row r="218" spans="1:10" ht="15" customHeight="1" x14ac:dyDescent="0.25">
      <c r="A218" s="15"/>
      <c r="G218" s="5"/>
      <c r="H218" s="6" t="s">
        <v>4</v>
      </c>
      <c r="I218" s="6"/>
      <c r="J218" s="7"/>
    </row>
    <row r="219" spans="1:10" ht="15" customHeight="1" x14ac:dyDescent="0.25">
      <c r="A219" s="16">
        <f>A209+1</f>
        <v>18</v>
      </c>
      <c r="G219" s="5"/>
      <c r="H219" s="6" t="str">
        <f>CONCATENATE("&lt;article id=""",A219,"""&gt;")</f>
        <v>&lt;article id="18"&gt;</v>
      </c>
      <c r="I219" s="6"/>
      <c r="J219" s="7"/>
    </row>
    <row r="220" spans="1:10" ht="15" customHeight="1" x14ac:dyDescent="0.25">
      <c r="A220" s="13" t="s">
        <v>115</v>
      </c>
      <c r="G220" s="5"/>
      <c r="H220" s="6"/>
      <c r="I220" s="6" t="str">
        <f>CONCATENATE("&lt;titre&gt;",TRIM(A220),"&lt;/titre&gt;")</f>
        <v>&lt;titre&gt;Mixeur - mélangeur à main&lt;/titre&gt;</v>
      </c>
      <c r="J220" s="7"/>
    </row>
    <row r="221" spans="1:10" ht="15" customHeight="1" x14ac:dyDescent="0.25">
      <c r="A221" s="12" t="s">
        <v>114</v>
      </c>
      <c r="G221" s="5"/>
      <c r="H221" s="6"/>
      <c r="I221" s="6" t="str">
        <f>CONCATENATE("&lt;desc&gt;",TRIM(A221),"&lt;/desc&gt;")</f>
        <v>&lt;desc&gt;- Marque Cuisinart Smart Stick
- 2 vitesses
- Fouet, hachoir et broyeur&lt;/desc&gt;</v>
      </c>
      <c r="J221" s="7"/>
    </row>
    <row r="222" spans="1:10" ht="15" customHeight="1" x14ac:dyDescent="0.25">
      <c r="A222" s="17">
        <v>35</v>
      </c>
      <c r="G222" s="5"/>
      <c r="H222" s="6"/>
      <c r="I222" s="6" t="str">
        <f>CONCATENATE("&lt;prix&gt;",TRIM(A222),"&lt;/prix&gt;")</f>
        <v>&lt;prix&gt;35&lt;/prix&gt;</v>
      </c>
      <c r="J222" s="7"/>
    </row>
    <row r="223" spans="1:10" ht="15" customHeight="1" x14ac:dyDescent="0.25">
      <c r="A223" s="1">
        <v>1</v>
      </c>
      <c r="G223" s="5"/>
      <c r="H223" s="6"/>
      <c r="I223" s="6" t="str">
        <f>CONCATENATE("&lt;vendu&gt;",TRIM(A223),"&lt;/vendu&gt;")</f>
        <v>&lt;vendu&gt;1&lt;/vendu&gt;</v>
      </c>
      <c r="J223" s="7"/>
    </row>
    <row r="224" spans="1:10" ht="15" customHeight="1" x14ac:dyDescent="0.25">
      <c r="A224" s="15"/>
      <c r="G224" s="5"/>
      <c r="H224" s="6"/>
      <c r="I224" s="6" t="s">
        <v>6</v>
      </c>
      <c r="J224" s="7"/>
    </row>
    <row r="225" spans="1:10" ht="15" customHeight="1" x14ac:dyDescent="0.25">
      <c r="A225" s="1" t="s">
        <v>95</v>
      </c>
      <c r="G225" s="5"/>
      <c r="H225" s="6"/>
      <c r="I225" s="6"/>
      <c r="J225" s="7" t="str">
        <f>CONCATENATE("&lt;image&gt;",TRIM(A225),"&lt;/image&gt;")</f>
        <v>&lt;image&gt;P1080700.jpg&lt;/image&gt;</v>
      </c>
    </row>
    <row r="226" spans="1:10" ht="15" customHeight="1" x14ac:dyDescent="0.25">
      <c r="A226" s="1" t="s">
        <v>96</v>
      </c>
      <c r="G226" s="5"/>
      <c r="H226" s="6"/>
      <c r="I226" s="6"/>
      <c r="J226" s="7" t="str">
        <f t="shared" ref="J226:J231" si="20">CONCATENATE("&lt;image&gt;",TRIM(A226),"&lt;/image&gt;")</f>
        <v>&lt;image&gt;P1080701.jpg&lt;/image&gt;</v>
      </c>
    </row>
    <row r="227" spans="1:10" ht="15" customHeight="1" x14ac:dyDescent="0.25">
      <c r="A227" s="1" t="s">
        <v>97</v>
      </c>
      <c r="G227" s="5"/>
      <c r="H227" s="6"/>
      <c r="I227" s="6"/>
      <c r="J227" s="7" t="str">
        <f t="shared" si="20"/>
        <v>&lt;image&gt;P1080703.jpg&lt;/image&gt;</v>
      </c>
    </row>
    <row r="228" spans="1:10" ht="15" customHeight="1" x14ac:dyDescent="0.25">
      <c r="A228" s="1" t="s">
        <v>98</v>
      </c>
      <c r="G228" s="5"/>
      <c r="H228" s="6"/>
      <c r="I228" s="6"/>
      <c r="J228" s="7" t="str">
        <f>CONCATENATE("&lt;image&gt;",TRIM(A228),"&lt;/image&gt;")</f>
        <v>&lt;image&gt;P1080704.jpg&lt;/image&gt;</v>
      </c>
    </row>
    <row r="229" spans="1:10" ht="15" customHeight="1" x14ac:dyDescent="0.25">
      <c r="A229" s="1" t="s">
        <v>99</v>
      </c>
      <c r="G229" s="5"/>
      <c r="H229" s="6"/>
      <c r="I229" s="6"/>
      <c r="J229" s="7" t="str">
        <f t="shared" ref="J229:J230" si="21">CONCATENATE("&lt;image&gt;",TRIM(A229),"&lt;/image&gt;")</f>
        <v>&lt;image&gt;P1080705.jpg&lt;/image&gt;</v>
      </c>
    </row>
    <row r="230" spans="1:10" ht="15" customHeight="1" x14ac:dyDescent="0.25">
      <c r="A230" s="1" t="s">
        <v>100</v>
      </c>
      <c r="G230" s="5"/>
      <c r="H230" s="6"/>
      <c r="I230" s="6"/>
      <c r="J230" s="7" t="str">
        <f t="shared" si="21"/>
        <v>&lt;image&gt;P1080706.jpg&lt;/image&gt;</v>
      </c>
    </row>
    <row r="231" spans="1:10" ht="15" customHeight="1" x14ac:dyDescent="0.25">
      <c r="A231" s="1" t="s">
        <v>101</v>
      </c>
      <c r="G231" s="5"/>
      <c r="H231" s="6"/>
      <c r="I231" s="6"/>
      <c r="J231" s="7" t="str">
        <f t="shared" si="20"/>
        <v>&lt;image&gt;P1080707.jpg&lt;/image&gt;</v>
      </c>
    </row>
    <row r="232" spans="1:10" ht="15" customHeight="1" x14ac:dyDescent="0.25">
      <c r="A232" s="15"/>
      <c r="G232" s="5"/>
      <c r="H232" s="6"/>
      <c r="I232" s="6" t="s">
        <v>7</v>
      </c>
      <c r="J232" s="7"/>
    </row>
    <row r="233" spans="1:10" ht="15" customHeight="1" x14ac:dyDescent="0.25">
      <c r="A233" s="15"/>
      <c r="G233" s="5"/>
      <c r="H233" s="6" t="s">
        <v>4</v>
      </c>
      <c r="I233" s="6"/>
      <c r="J233" s="7"/>
    </row>
    <row r="234" spans="1:10" ht="15" customHeight="1" x14ac:dyDescent="0.25">
      <c r="A234" s="16">
        <f>A219+1</f>
        <v>19</v>
      </c>
      <c r="G234" s="5"/>
      <c r="H234" s="6" t="str">
        <f>CONCATENATE("&lt;article id=""",A234,"""&gt;")</f>
        <v>&lt;article id="19"&gt;</v>
      </c>
      <c r="I234" s="6"/>
      <c r="J234" s="7"/>
    </row>
    <row r="235" spans="1:10" ht="15" customHeight="1" x14ac:dyDescent="0.25">
      <c r="A235" s="13" t="s">
        <v>116</v>
      </c>
      <c r="G235" s="5"/>
      <c r="H235" s="6"/>
      <c r="I235" s="6" t="str">
        <f>CONCATENATE("&lt;titre&gt;",TRIM(A235),"&lt;/titre&gt;")</f>
        <v>&lt;titre&gt;Cafetière individuelle&lt;/titre&gt;</v>
      </c>
      <c r="J235" s="7"/>
    </row>
    <row r="236" spans="1:10" ht="15" customHeight="1" x14ac:dyDescent="0.25">
      <c r="A236" s="12" t="s">
        <v>141</v>
      </c>
      <c r="G236" s="5"/>
      <c r="H236" s="6"/>
      <c r="I236" s="6" t="str">
        <f>CONCATENATE("&lt;desc&gt;",TRIM(A236),"&lt;/desc&gt;")</f>
        <v>&lt;desc&gt;- Marque Black$Decker
- Très bon état, peu servi
- Tasse de voyage en acier inoxydable
- Avec filtre permanent amovible
- Fourni dans sa boite d&amp;apos;origine avec livret d&amp;apos;instructions&lt;/desc&gt;</v>
      </c>
      <c r="J236" s="7"/>
    </row>
    <row r="237" spans="1:10" ht="15" customHeight="1" x14ac:dyDescent="0.25">
      <c r="A237" s="17">
        <v>10</v>
      </c>
      <c r="G237" s="5"/>
      <c r="H237" s="6"/>
      <c r="I237" s="6" t="str">
        <f>CONCATENATE("&lt;prix&gt;",TRIM(A237),"&lt;/prix&gt;")</f>
        <v>&lt;prix&gt;10&lt;/prix&gt;</v>
      </c>
      <c r="J237" s="7"/>
    </row>
    <row r="238" spans="1:10" ht="15" customHeight="1" x14ac:dyDescent="0.25">
      <c r="A238" s="1">
        <v>0</v>
      </c>
      <c r="G238" s="5"/>
      <c r="H238" s="6"/>
      <c r="I238" s="6" t="str">
        <f>CONCATENATE("&lt;vendu&gt;",TRIM(A238),"&lt;/vendu&gt;")</f>
        <v>&lt;vendu&gt;0&lt;/vendu&gt;</v>
      </c>
      <c r="J238" s="7"/>
    </row>
    <row r="239" spans="1:10" ht="15" customHeight="1" x14ac:dyDescent="0.25">
      <c r="A239" s="15"/>
      <c r="G239" s="5"/>
      <c r="H239" s="6"/>
      <c r="I239" s="6" t="s">
        <v>6</v>
      </c>
      <c r="J239" s="7"/>
    </row>
    <row r="240" spans="1:10" ht="15" customHeight="1" x14ac:dyDescent="0.25">
      <c r="A240" s="1" t="s">
        <v>103</v>
      </c>
      <c r="G240" s="5"/>
      <c r="H240" s="6"/>
      <c r="I240" s="6"/>
      <c r="J240" s="7" t="str">
        <f>CONCATENATE("&lt;image&gt;",TRIM(A240),"&lt;/image&gt;")</f>
        <v>&lt;image&gt;P1080709.jpg&lt;/image&gt;</v>
      </c>
    </row>
    <row r="241" spans="1:10" ht="15" customHeight="1" x14ac:dyDescent="0.25">
      <c r="A241" s="1" t="s">
        <v>102</v>
      </c>
      <c r="G241" s="5"/>
      <c r="H241" s="6"/>
      <c r="I241" s="6"/>
      <c r="J241" s="7" t="str">
        <f t="shared" ref="J241" si="22">CONCATENATE("&lt;image&gt;",TRIM(A241),"&lt;/image&gt;")</f>
        <v>&lt;image&gt;P1080708.jpg&lt;/image&gt;</v>
      </c>
    </row>
    <row r="242" spans="1:10" ht="15" customHeight="1" x14ac:dyDescent="0.25">
      <c r="A242" s="15"/>
      <c r="G242" s="5"/>
      <c r="H242" s="6"/>
      <c r="I242" s="6" t="s">
        <v>7</v>
      </c>
      <c r="J242" s="7"/>
    </row>
    <row r="243" spans="1:10" ht="15" customHeight="1" x14ac:dyDescent="0.25">
      <c r="A243" s="15"/>
      <c r="G243" s="5"/>
      <c r="H243" s="6" t="s">
        <v>4</v>
      </c>
      <c r="I243" s="6"/>
      <c r="J243" s="7"/>
    </row>
    <row r="244" spans="1:10" ht="15" customHeight="1" x14ac:dyDescent="0.25">
      <c r="A244" s="16">
        <f>A234+1</f>
        <v>20</v>
      </c>
      <c r="G244" s="5"/>
      <c r="H244" s="6" t="str">
        <f>CONCATENATE("&lt;article id=""",A244,"""&gt;")</f>
        <v>&lt;article id="20"&gt;</v>
      </c>
      <c r="I244" s="6"/>
      <c r="J244" s="7"/>
    </row>
    <row r="245" spans="1:10" ht="15" customHeight="1" x14ac:dyDescent="0.25">
      <c r="A245" s="13" t="s">
        <v>104</v>
      </c>
      <c r="G245" s="5"/>
      <c r="H245" s="6"/>
      <c r="I245" s="6" t="str">
        <f>CONCATENATE("&lt;titre&gt;",TRIM(A245),"&lt;/titre&gt;")</f>
        <v>&lt;titre&gt;Aspirateur&lt;/titre&gt;</v>
      </c>
      <c r="J245" s="7"/>
    </row>
    <row r="246" spans="1:10" ht="15" customHeight="1" x14ac:dyDescent="0.25">
      <c r="A246" s="12" t="s">
        <v>143</v>
      </c>
      <c r="G246" s="5"/>
      <c r="H246" s="6"/>
      <c r="I246" s="6" t="str">
        <f>CONCATENATE("&lt;desc&gt;",TRIM(A246),"&lt;/desc&gt;")</f>
        <v>&lt;desc&gt;- Marque Kenmore
- Sans sac
- Filtre lavable
- 2 accessoires
- Fourni avec livret d&amp;apos;instructions&lt;/desc&gt;</v>
      </c>
      <c r="J246" s="7"/>
    </row>
    <row r="247" spans="1:10" ht="15" customHeight="1" x14ac:dyDescent="0.25">
      <c r="A247" s="17">
        <v>120</v>
      </c>
      <c r="G247" s="5"/>
      <c r="H247" s="6"/>
      <c r="I247" s="6" t="str">
        <f>CONCATENATE("&lt;prix&gt;",TRIM(A247),"&lt;/prix&gt;")</f>
        <v>&lt;prix&gt;120&lt;/prix&gt;</v>
      </c>
      <c r="J247" s="7"/>
    </row>
    <row r="248" spans="1:10" ht="15" customHeight="1" x14ac:dyDescent="0.25">
      <c r="A248" s="1">
        <v>1</v>
      </c>
      <c r="G248" s="5"/>
      <c r="H248" s="6"/>
      <c r="I248" s="6" t="str">
        <f>CONCATENATE("&lt;vendu&gt;",TRIM(A248),"&lt;/vendu&gt;")</f>
        <v>&lt;vendu&gt;1&lt;/vendu&gt;</v>
      </c>
      <c r="J248" s="7"/>
    </row>
    <row r="249" spans="1:10" ht="15" customHeight="1" x14ac:dyDescent="0.25">
      <c r="A249" s="15"/>
      <c r="G249" s="5"/>
      <c r="H249" s="6"/>
      <c r="I249" s="6" t="s">
        <v>6</v>
      </c>
      <c r="J249" s="7"/>
    </row>
    <row r="250" spans="1:10" ht="15" customHeight="1" x14ac:dyDescent="0.25">
      <c r="A250" s="1" t="s">
        <v>198</v>
      </c>
      <c r="G250" s="5"/>
      <c r="H250" s="6"/>
      <c r="I250" s="6"/>
      <c r="J250" s="7" t="str">
        <f>CONCATENATE("&lt;image&gt;",TRIM(A250),"&lt;/image&gt;")</f>
        <v>&lt;image&gt;P1080783.jpg&lt;/image&gt;</v>
      </c>
    </row>
    <row r="251" spans="1:10" ht="15" customHeight="1" x14ac:dyDescent="0.25">
      <c r="A251" s="1" t="s">
        <v>199</v>
      </c>
      <c r="G251" s="5"/>
      <c r="H251" s="6"/>
      <c r="I251" s="6"/>
      <c r="J251" s="7" t="str">
        <f t="shared" ref="J251:J252" si="23">CONCATENATE("&lt;image&gt;",TRIM(A251),"&lt;/image&gt;")</f>
        <v>&lt;image&gt;P1080784.jpg&lt;/image&gt;</v>
      </c>
    </row>
    <row r="252" spans="1:10" ht="15" customHeight="1" x14ac:dyDescent="0.25">
      <c r="A252" s="1" t="s">
        <v>200</v>
      </c>
      <c r="G252" s="5"/>
      <c r="H252" s="6"/>
      <c r="I252" s="6"/>
      <c r="J252" s="7" t="str">
        <f t="shared" si="23"/>
        <v>&lt;image&gt;P1080785.jpg&lt;/image&gt;</v>
      </c>
    </row>
    <row r="253" spans="1:10" ht="15" customHeight="1" x14ac:dyDescent="0.25">
      <c r="A253" s="15"/>
      <c r="G253" s="5"/>
      <c r="H253" s="6"/>
      <c r="I253" s="6" t="s">
        <v>7</v>
      </c>
      <c r="J253" s="7"/>
    </row>
    <row r="254" spans="1:10" ht="15" customHeight="1" x14ac:dyDescent="0.25">
      <c r="A254" s="15"/>
      <c r="G254" s="5"/>
      <c r="H254" s="6" t="s">
        <v>4</v>
      </c>
      <c r="I254" s="6"/>
      <c r="J254" s="7"/>
    </row>
    <row r="255" spans="1:10" ht="15" customHeight="1" x14ac:dyDescent="0.25">
      <c r="A255" s="16">
        <f>A244+1</f>
        <v>21</v>
      </c>
      <c r="G255" s="5"/>
      <c r="H255" s="6" t="str">
        <f>CONCATENATE("&lt;article id=""",A255,"""&gt;")</f>
        <v>&lt;article id="21"&gt;</v>
      </c>
      <c r="I255" s="6"/>
      <c r="J255" s="7"/>
    </row>
    <row r="256" spans="1:10" ht="15" customHeight="1" x14ac:dyDescent="0.25">
      <c r="A256" s="13" t="s">
        <v>110</v>
      </c>
      <c r="G256" s="5"/>
      <c r="H256" s="6"/>
      <c r="I256" s="6" t="str">
        <f>CONCATENATE("&lt;titre&gt;",TRIM(A256),"&lt;/titre&gt;")</f>
        <v>&lt;titre&gt;Batteur électrique&lt;/titre&gt;</v>
      </c>
      <c r="J256" s="7"/>
    </row>
    <row r="257" spans="1:10" ht="15" customHeight="1" x14ac:dyDescent="0.25">
      <c r="A257" s="12" t="s">
        <v>144</v>
      </c>
      <c r="G257" s="5"/>
      <c r="H257" s="6"/>
      <c r="I257" s="6" t="str">
        <f>CONCATENATE("&lt;desc&gt;",TRIM(A257),"&lt;/desc&gt;")</f>
        <v>&lt;desc&gt;- 200 Watts
- 5 vitesses + touche turbo
- Fouets et crochets pétrisseur en acier inoxidable
- Fourni dans sa boite d&amp;apos;origine avec livret d&amp;apos;instructions&lt;/desc&gt;</v>
      </c>
      <c r="J257" s="7"/>
    </row>
    <row r="258" spans="1:10" ht="15" customHeight="1" x14ac:dyDescent="0.25">
      <c r="A258" s="17">
        <v>10</v>
      </c>
      <c r="G258" s="5"/>
      <c r="H258" s="6"/>
      <c r="I258" s="6" t="str">
        <f>CONCATENATE("&lt;prix&gt;",TRIM(A258),"&lt;/prix&gt;")</f>
        <v>&lt;prix&gt;10&lt;/prix&gt;</v>
      </c>
      <c r="J258" s="7"/>
    </row>
    <row r="259" spans="1:10" ht="15" customHeight="1" x14ac:dyDescent="0.25">
      <c r="A259" s="1">
        <v>1</v>
      </c>
      <c r="G259" s="5"/>
      <c r="H259" s="6"/>
      <c r="I259" s="6" t="str">
        <f>CONCATENATE("&lt;vendu&gt;",TRIM(A259),"&lt;/vendu&gt;")</f>
        <v>&lt;vendu&gt;1&lt;/vendu&gt;</v>
      </c>
      <c r="J259" s="7"/>
    </row>
    <row r="260" spans="1:10" ht="15" customHeight="1" x14ac:dyDescent="0.25">
      <c r="A260" s="15"/>
      <c r="G260" s="5"/>
      <c r="H260" s="6"/>
      <c r="I260" s="6" t="s">
        <v>6</v>
      </c>
      <c r="J260" s="7"/>
    </row>
    <row r="261" spans="1:10" ht="15" customHeight="1" x14ac:dyDescent="0.25">
      <c r="A261" s="1" t="s">
        <v>196</v>
      </c>
      <c r="G261" s="5"/>
      <c r="H261" s="6"/>
      <c r="I261" s="6"/>
      <c r="J261" s="7" t="str">
        <f>CONCATENATE("&lt;image&gt;",TRIM(A261),"&lt;/image&gt;")</f>
        <v>&lt;image&gt;P1080786.jpg&lt;/image&gt;</v>
      </c>
    </row>
    <row r="262" spans="1:10" ht="15" customHeight="1" x14ac:dyDescent="0.25">
      <c r="A262" s="1" t="s">
        <v>197</v>
      </c>
      <c r="G262" s="5"/>
      <c r="H262" s="6"/>
      <c r="I262" s="6"/>
      <c r="J262" s="7" t="str">
        <f>CONCATENATE("&lt;image&gt;",TRIM(A262),"&lt;/image&gt;")</f>
        <v>&lt;image&gt;P1080788.jpg&lt;/image&gt;</v>
      </c>
    </row>
    <row r="263" spans="1:10" ht="15" customHeight="1" x14ac:dyDescent="0.25">
      <c r="A263" s="15"/>
      <c r="G263" s="5"/>
      <c r="H263" s="6"/>
      <c r="I263" s="6" t="s">
        <v>7</v>
      </c>
      <c r="J263" s="7"/>
    </row>
    <row r="264" spans="1:10" ht="15" customHeight="1" x14ac:dyDescent="0.25">
      <c r="A264" s="15"/>
      <c r="G264" s="5"/>
      <c r="H264" s="6" t="s">
        <v>4</v>
      </c>
      <c r="I264" s="6"/>
      <c r="J264" s="7"/>
    </row>
    <row r="265" spans="1:10" ht="15" customHeight="1" x14ac:dyDescent="0.25">
      <c r="A265" s="16">
        <f>A255+1</f>
        <v>22</v>
      </c>
      <c r="G265" s="5"/>
      <c r="H265" s="6" t="str">
        <f>CONCATENATE("&lt;article id=""",A265,"""&gt;")</f>
        <v>&lt;article id="22"&gt;</v>
      </c>
      <c r="I265" s="6"/>
      <c r="J265" s="7"/>
    </row>
    <row r="266" spans="1:10" ht="15" customHeight="1" x14ac:dyDescent="0.25">
      <c r="A266" s="13" t="s">
        <v>105</v>
      </c>
      <c r="G266" s="5"/>
      <c r="H266" s="6"/>
      <c r="I266" s="6" t="str">
        <f>CONCATENATE("&lt;titre&gt;",TRIM(A266),"&lt;/titre&gt;")</f>
        <v>&lt;titre&gt;Bibliothèque&lt;/titre&gt;</v>
      </c>
      <c r="J266" s="7"/>
    </row>
    <row r="267" spans="1:10" ht="15" customHeight="1" x14ac:dyDescent="0.25">
      <c r="A267" s="12" t="s">
        <v>212</v>
      </c>
      <c r="G267" s="5"/>
      <c r="H267" s="6"/>
      <c r="I267" s="6" t="str">
        <f>CONCATENATE("&lt;desc&gt;",TRIM(A267),"&lt;/desc&gt;")</f>
        <v>&lt;desc&gt;- 5 plateaux dont 3 à hauteur réglable 
- Dimensions (largeur x profondeur x hauteur) : 30&amp;apos;&amp;apos; x 12&amp;apos;&amp;apos; x 72&amp;apos;&amp;apos;&lt;/desc&gt;</v>
      </c>
      <c r="J267" s="7"/>
    </row>
    <row r="268" spans="1:10" ht="15" customHeight="1" x14ac:dyDescent="0.25">
      <c r="A268" s="17">
        <v>35</v>
      </c>
      <c r="G268" s="5"/>
      <c r="H268" s="6"/>
      <c r="I268" s="6" t="str">
        <f>CONCATENATE("&lt;prix&gt;",TRIM(A268),"&lt;/prix&gt;")</f>
        <v>&lt;prix&gt;35&lt;/prix&gt;</v>
      </c>
      <c r="J268" s="7"/>
    </row>
    <row r="269" spans="1:10" ht="15" customHeight="1" x14ac:dyDescent="0.25">
      <c r="A269" s="1">
        <v>1</v>
      </c>
      <c r="G269" s="5"/>
      <c r="H269" s="6"/>
      <c r="I269" s="6" t="str">
        <f>CONCATENATE("&lt;vendu&gt;",TRIM(A269),"&lt;/vendu&gt;")</f>
        <v>&lt;vendu&gt;1&lt;/vendu&gt;</v>
      </c>
      <c r="J269" s="7"/>
    </row>
    <row r="270" spans="1:10" ht="15" customHeight="1" x14ac:dyDescent="0.25">
      <c r="A270" s="15"/>
      <c r="G270" s="5"/>
      <c r="H270" s="6"/>
      <c r="I270" s="6" t="s">
        <v>6</v>
      </c>
      <c r="J270" s="7"/>
    </row>
    <row r="271" spans="1:10" ht="15" customHeight="1" x14ac:dyDescent="0.25">
      <c r="A271" s="1" t="s">
        <v>194</v>
      </c>
      <c r="G271" s="5"/>
      <c r="H271" s="6"/>
      <c r="I271" s="6"/>
      <c r="J271" s="7" t="str">
        <f>CONCATENATE("&lt;image&gt;",TRIM(A271),"&lt;/image&gt;")</f>
        <v>&lt;image&gt;P1080795.jpg&lt;/image&gt;</v>
      </c>
    </row>
    <row r="272" spans="1:10" ht="15" customHeight="1" x14ac:dyDescent="0.25">
      <c r="A272" s="1" t="s">
        <v>195</v>
      </c>
      <c r="G272" s="5"/>
      <c r="H272" s="6"/>
      <c r="I272" s="6"/>
      <c r="J272" s="7" t="str">
        <f>CONCATENATE("&lt;image&gt;",TRIM(A272),"&lt;/image&gt;")</f>
        <v>&lt;image&gt;P1080796.jpg&lt;/image&gt;</v>
      </c>
    </row>
    <row r="273" spans="1:10" ht="15" customHeight="1" x14ac:dyDescent="0.25">
      <c r="A273" s="15"/>
      <c r="G273" s="5"/>
      <c r="H273" s="6"/>
      <c r="I273" s="6" t="s">
        <v>7</v>
      </c>
      <c r="J273" s="7"/>
    </row>
    <row r="274" spans="1:10" ht="15" customHeight="1" x14ac:dyDescent="0.25">
      <c r="A274" s="15"/>
      <c r="G274" s="5"/>
      <c r="H274" s="6" t="s">
        <v>4</v>
      </c>
      <c r="I274" s="6"/>
      <c r="J274" s="7"/>
    </row>
    <row r="275" spans="1:10" ht="15" customHeight="1" x14ac:dyDescent="0.25">
      <c r="A275" s="16">
        <f>A265+1</f>
        <v>23</v>
      </c>
      <c r="G275" s="5"/>
      <c r="H275" s="6" t="str">
        <f>CONCATENATE("&lt;article id=""",A275,"""&gt;")</f>
        <v>&lt;article id="23"&gt;</v>
      </c>
      <c r="I275" s="6"/>
      <c r="J275" s="7"/>
    </row>
    <row r="276" spans="1:10" ht="15" customHeight="1" x14ac:dyDescent="0.25">
      <c r="A276" s="13" t="s">
        <v>106</v>
      </c>
      <c r="G276" s="5"/>
      <c r="H276" s="6"/>
      <c r="I276" s="6" t="str">
        <f>CONCATENATE("&lt;titre&gt;",TRIM(A276),"&lt;/titre&gt;")</f>
        <v>&lt;titre&gt;Bureau&lt;/titre&gt;</v>
      </c>
      <c r="J276" s="7"/>
    </row>
    <row r="277" spans="1:10" ht="15" customHeight="1" x14ac:dyDescent="0.25">
      <c r="A277" s="12" t="s">
        <v>217</v>
      </c>
      <c r="G277" s="5"/>
      <c r="H277" s="6"/>
      <c r="I277" s="6" t="str">
        <f>CONCATENATE("&lt;desc&gt;",TRIM(A277),"&lt;/desc&gt;")</f>
        <v>&lt;desc&gt;- 1 Tiroir
- Emplacement pour ordinateur
- Table retractable
- Espaces de rangement dont 1 avec porte
- Il manque un petit morceau à l&amp;apos;arrière (très peu visible)
- Dimensions (largeur x profondeur x hauteur) : 48&amp;apos;&amp;apos; x 24&amp;apos;&amp;apos; x 58.5&amp;apos;&amp;apos;&lt;/desc&gt;</v>
      </c>
      <c r="J277" s="7"/>
    </row>
    <row r="278" spans="1:10" ht="15" customHeight="1" x14ac:dyDescent="0.25">
      <c r="A278" s="17">
        <v>40</v>
      </c>
      <c r="G278" s="5"/>
      <c r="H278" s="6"/>
      <c r="I278" s="6" t="str">
        <f>CONCATENATE("&lt;prix&gt;",TRIM(A278),"&lt;/prix&gt;")</f>
        <v>&lt;prix&gt;40&lt;/prix&gt;</v>
      </c>
      <c r="J278" s="7"/>
    </row>
    <row r="279" spans="1:10" ht="15" customHeight="1" x14ac:dyDescent="0.25">
      <c r="A279" s="1">
        <v>1</v>
      </c>
      <c r="G279" s="5"/>
      <c r="H279" s="6"/>
      <c r="I279" s="6" t="str">
        <f>CONCATENATE("&lt;vendu&gt;",TRIM(A279),"&lt;/vendu&gt;")</f>
        <v>&lt;vendu&gt;1&lt;/vendu&gt;</v>
      </c>
      <c r="J279" s="7"/>
    </row>
    <row r="280" spans="1:10" ht="15" customHeight="1" x14ac:dyDescent="0.25">
      <c r="A280" s="15"/>
      <c r="G280" s="5"/>
      <c r="H280" s="6"/>
      <c r="I280" s="6" t="s">
        <v>6</v>
      </c>
      <c r="J280" s="7"/>
    </row>
    <row r="281" spans="1:10" ht="15" customHeight="1" x14ac:dyDescent="0.25">
      <c r="A281" s="1" t="s">
        <v>206</v>
      </c>
      <c r="G281" s="5"/>
      <c r="H281" s="6"/>
      <c r="I281" s="6"/>
      <c r="J281" s="7" t="str">
        <f>CONCATENATE("&lt;image&gt;",TRIM(A281),"&lt;/image&gt;")</f>
        <v>&lt;image&gt;P1080816.jpg&lt;/image&gt;</v>
      </c>
    </row>
    <row r="282" spans="1:10" ht="15" customHeight="1" x14ac:dyDescent="0.25">
      <c r="A282" s="1" t="s">
        <v>207</v>
      </c>
      <c r="G282" s="5"/>
      <c r="H282" s="6"/>
      <c r="I282" s="6"/>
      <c r="J282" s="7" t="str">
        <f t="shared" ref="J282:J283" si="24">CONCATENATE("&lt;image&gt;",TRIM(A282),"&lt;/image&gt;")</f>
        <v>&lt;image&gt;P1080817.jpg&lt;/image&gt;</v>
      </c>
    </row>
    <row r="283" spans="1:10" ht="15" customHeight="1" x14ac:dyDescent="0.25">
      <c r="A283" s="1" t="s">
        <v>208</v>
      </c>
      <c r="G283" s="5"/>
      <c r="H283" s="6"/>
      <c r="I283" s="6"/>
      <c r="J283" s="7" t="str">
        <f t="shared" si="24"/>
        <v>&lt;image&gt;P1080819.jpg&lt;/image&gt;</v>
      </c>
    </row>
    <row r="284" spans="1:10" ht="15" customHeight="1" x14ac:dyDescent="0.25">
      <c r="A284" s="15"/>
      <c r="G284" s="5"/>
      <c r="H284" s="6"/>
      <c r="I284" s="6" t="s">
        <v>7</v>
      </c>
      <c r="J284" s="7"/>
    </row>
    <row r="285" spans="1:10" ht="15" customHeight="1" x14ac:dyDescent="0.25">
      <c r="A285" s="15"/>
      <c r="G285" s="5"/>
      <c r="H285" s="6" t="s">
        <v>4</v>
      </c>
      <c r="I285" s="6"/>
      <c r="J285" s="7"/>
    </row>
    <row r="286" spans="1:10" ht="15" customHeight="1" x14ac:dyDescent="0.25">
      <c r="A286" s="16">
        <f>A275+1</f>
        <v>24</v>
      </c>
      <c r="G286" s="5"/>
      <c r="H286" s="6" t="str">
        <f>CONCATENATE("&lt;article id=""",A286,"""&gt;")</f>
        <v>&lt;article id="24"&gt;</v>
      </c>
      <c r="I286" s="6"/>
      <c r="J286" s="7"/>
    </row>
    <row r="287" spans="1:10" ht="15" customHeight="1" x14ac:dyDescent="0.25">
      <c r="A287" s="13" t="s">
        <v>107</v>
      </c>
      <c r="G287" s="5"/>
      <c r="H287" s="6"/>
      <c r="I287" s="6" t="str">
        <f>CONCATENATE("&lt;titre&gt;",TRIM(A287),"&lt;/titre&gt;")</f>
        <v>&lt;titre&gt;Commode&lt;/titre&gt;</v>
      </c>
      <c r="J287" s="7"/>
    </row>
    <row r="288" spans="1:10" ht="15" customHeight="1" x14ac:dyDescent="0.25">
      <c r="A288" s="12" t="s">
        <v>215</v>
      </c>
      <c r="G288" s="5"/>
      <c r="H288" s="6"/>
      <c r="I288" s="6" t="str">
        <f>CONCATENATE("&lt;desc&gt;",TRIM(A288),"&lt;/desc&gt;")</f>
        <v>&lt;desc&gt;- 6 grands titoir et 3 petits
- Dimensions (largeur x profondeur x hauteur) : 60&amp;quot; x 17.5&amp;quot; x 31.5&amp;quot;&lt;/desc&gt;</v>
      </c>
      <c r="J288" s="7"/>
    </row>
    <row r="289" spans="1:10" ht="15" customHeight="1" x14ac:dyDescent="0.25">
      <c r="A289" s="17">
        <v>40</v>
      </c>
      <c r="G289" s="5"/>
      <c r="H289" s="6"/>
      <c r="I289" s="6" t="str">
        <f>CONCATENATE("&lt;prix&gt;",TRIM(A289),"&lt;/prix&gt;")</f>
        <v>&lt;prix&gt;40&lt;/prix&gt;</v>
      </c>
      <c r="J289" s="7"/>
    </row>
    <row r="290" spans="1:10" ht="15" customHeight="1" x14ac:dyDescent="0.25">
      <c r="A290" s="1">
        <v>1</v>
      </c>
      <c r="G290" s="5"/>
      <c r="H290" s="6"/>
      <c r="I290" s="6" t="str">
        <f>CONCATENATE("&lt;vendu&gt;",TRIM(A290),"&lt;/vendu&gt;")</f>
        <v>&lt;vendu&gt;1&lt;/vendu&gt;</v>
      </c>
      <c r="J290" s="7"/>
    </row>
    <row r="291" spans="1:10" ht="15" customHeight="1" x14ac:dyDescent="0.25">
      <c r="A291" s="15"/>
      <c r="G291" s="5"/>
      <c r="H291" s="6"/>
      <c r="I291" s="6" t="s">
        <v>6</v>
      </c>
      <c r="J291" s="7"/>
    </row>
    <row r="292" spans="1:10" ht="15" customHeight="1" x14ac:dyDescent="0.25">
      <c r="A292" s="1" t="s">
        <v>155</v>
      </c>
      <c r="G292" s="5"/>
      <c r="H292" s="6"/>
      <c r="I292" s="6"/>
      <c r="J292" s="7" t="str">
        <f>CONCATENATE("&lt;image&gt;",TRIM(A292),"&lt;/image&gt;")</f>
        <v>&lt;image&gt;P1080736.jpg&lt;/image&gt;</v>
      </c>
    </row>
    <row r="293" spans="1:10" ht="15" customHeight="1" x14ac:dyDescent="0.25">
      <c r="A293" s="1" t="s">
        <v>156</v>
      </c>
      <c r="G293" s="5"/>
      <c r="H293" s="6"/>
      <c r="I293" s="6"/>
      <c r="J293" s="7" t="str">
        <f t="shared" ref="J293:J294" si="25">CONCATENATE("&lt;image&gt;",TRIM(A293),"&lt;/image&gt;")</f>
        <v>&lt;image&gt;P1080737.jpg&lt;/image&gt;</v>
      </c>
    </row>
    <row r="294" spans="1:10" ht="15" customHeight="1" x14ac:dyDescent="0.25">
      <c r="A294" s="1" t="s">
        <v>157</v>
      </c>
      <c r="G294" s="5"/>
      <c r="H294" s="6"/>
      <c r="I294" s="6"/>
      <c r="J294" s="7" t="str">
        <f t="shared" si="25"/>
        <v>&lt;image&gt;P1080738.jpg&lt;/image&gt;</v>
      </c>
    </row>
    <row r="295" spans="1:10" ht="15" customHeight="1" x14ac:dyDescent="0.25">
      <c r="A295" s="15"/>
      <c r="G295" s="5"/>
      <c r="H295" s="6"/>
      <c r="I295" s="6" t="s">
        <v>7</v>
      </c>
      <c r="J295" s="7"/>
    </row>
    <row r="296" spans="1:10" ht="15" customHeight="1" x14ac:dyDescent="0.25">
      <c r="A296" s="15"/>
      <c r="G296" s="5"/>
      <c r="H296" s="6" t="s">
        <v>4</v>
      </c>
      <c r="I296" s="6"/>
      <c r="J296" s="7"/>
    </row>
    <row r="297" spans="1:10" ht="15" customHeight="1" x14ac:dyDescent="0.25">
      <c r="A297" s="16">
        <f>A286+1</f>
        <v>25</v>
      </c>
      <c r="G297" s="5"/>
      <c r="H297" s="6" t="str">
        <f>CONCATENATE("&lt;article id=""",A297,"""&gt;")</f>
        <v>&lt;article id="25"&gt;</v>
      </c>
      <c r="I297" s="6"/>
      <c r="J297" s="7"/>
    </row>
    <row r="298" spans="1:10" ht="15" customHeight="1" x14ac:dyDescent="0.25">
      <c r="A298" s="13" t="s">
        <v>107</v>
      </c>
      <c r="G298" s="5"/>
      <c r="H298" s="6"/>
      <c r="I298" s="6" t="str">
        <f>CONCATENATE("&lt;titre&gt;",TRIM(A298),"&lt;/titre&gt;")</f>
        <v>&lt;titre&gt;Commode&lt;/titre&gt;</v>
      </c>
      <c r="J298" s="7"/>
    </row>
    <row r="299" spans="1:10" ht="15" customHeight="1" x14ac:dyDescent="0.25">
      <c r="A299" s="12" t="s">
        <v>213</v>
      </c>
      <c r="G299" s="5"/>
      <c r="H299" s="6"/>
      <c r="I299" s="6" t="str">
        <f>CONCATENATE("&lt;desc&gt;",TRIM(A299),"&lt;/desc&gt;")</f>
        <v>&lt;desc&gt;- 5 tiroirs (2 petits et 3 grands)
- Dimensions (largeur x profondeur x hauteur) : 32&amp;apos;&amp;apos; x 18&amp;apos;&amp;apos; x 44.5&amp;apos;&amp;apos;&lt;/desc&gt;</v>
      </c>
      <c r="J299" s="7"/>
    </row>
    <row r="300" spans="1:10" ht="15" customHeight="1" x14ac:dyDescent="0.25">
      <c r="A300" s="17">
        <v>40</v>
      </c>
      <c r="G300" s="5"/>
      <c r="H300" s="6"/>
      <c r="I300" s="6" t="str">
        <f>CONCATENATE("&lt;prix&gt;",TRIM(A300),"&lt;/prix&gt;")</f>
        <v>&lt;prix&gt;40&lt;/prix&gt;</v>
      </c>
      <c r="J300" s="7"/>
    </row>
    <row r="301" spans="1:10" ht="15" customHeight="1" x14ac:dyDescent="0.25">
      <c r="A301" s="1">
        <v>1</v>
      </c>
      <c r="G301" s="5"/>
      <c r="H301" s="6"/>
      <c r="I301" s="6" t="str">
        <f>CONCATENATE("&lt;vendu&gt;",TRIM(A301),"&lt;/vendu&gt;")</f>
        <v>&lt;vendu&gt;1&lt;/vendu&gt;</v>
      </c>
      <c r="J301" s="7"/>
    </row>
    <row r="302" spans="1:10" ht="15" customHeight="1" x14ac:dyDescent="0.25">
      <c r="A302" s="15"/>
      <c r="G302" s="5"/>
      <c r="H302" s="6"/>
      <c r="I302" s="6" t="s">
        <v>6</v>
      </c>
      <c r="J302" s="7"/>
    </row>
    <row r="303" spans="1:10" ht="15" customHeight="1" x14ac:dyDescent="0.25">
      <c r="A303" s="1" t="s">
        <v>153</v>
      </c>
      <c r="G303" s="5"/>
      <c r="H303" s="6"/>
      <c r="I303" s="6"/>
      <c r="J303" s="7" t="str">
        <f>CONCATENATE("&lt;image&gt;",TRIM(A303),"&lt;/image&gt;")</f>
        <v>&lt;image&gt;P1080730.jpg&lt;/image&gt;</v>
      </c>
    </row>
    <row r="304" spans="1:10" ht="15" customHeight="1" x14ac:dyDescent="0.25">
      <c r="A304" s="1" t="s">
        <v>154</v>
      </c>
      <c r="G304" s="5"/>
      <c r="H304" s="6"/>
      <c r="I304" s="6"/>
      <c r="J304" s="7" t="str">
        <f t="shared" ref="J304" si="26">CONCATENATE("&lt;image&gt;",TRIM(A304),"&lt;/image&gt;")</f>
        <v>&lt;image&gt;P1080731.jpg&lt;/image&gt;</v>
      </c>
    </row>
    <row r="305" spans="1:10" ht="15" customHeight="1" x14ac:dyDescent="0.25">
      <c r="A305" s="15"/>
      <c r="G305" s="5"/>
      <c r="H305" s="6"/>
      <c r="I305" s="6" t="s">
        <v>7</v>
      </c>
      <c r="J305" s="7"/>
    </row>
    <row r="306" spans="1:10" ht="15" customHeight="1" x14ac:dyDescent="0.25">
      <c r="A306" s="15"/>
      <c r="G306" s="5"/>
      <c r="H306" s="6" t="s">
        <v>4</v>
      </c>
      <c r="I306" s="6"/>
      <c r="J306" s="7"/>
    </row>
    <row r="307" spans="1:10" ht="15" customHeight="1" x14ac:dyDescent="0.25">
      <c r="A307" s="16">
        <f>A297+1</f>
        <v>26</v>
      </c>
      <c r="G307" s="5"/>
      <c r="H307" s="6" t="str">
        <f>CONCATENATE("&lt;article id=""",A307,"""&gt;")</f>
        <v>&lt;article id="26"&gt;</v>
      </c>
      <c r="I307" s="6"/>
      <c r="J307" s="7"/>
    </row>
    <row r="308" spans="1:10" ht="15" customHeight="1" x14ac:dyDescent="0.25">
      <c r="A308" s="13" t="s">
        <v>108</v>
      </c>
      <c r="G308" s="5"/>
      <c r="H308" s="6"/>
      <c r="I308" s="6" t="str">
        <f>CONCATENATE("&lt;titre&gt;",TRIM(A308),"&lt;/titre&gt;")</f>
        <v>&lt;titre&gt;Futon&lt;/titre&gt;</v>
      </c>
      <c r="J308" s="7"/>
    </row>
    <row r="309" spans="1:10" ht="15" customHeight="1" x14ac:dyDescent="0.25">
      <c r="A309" s="12" t="s">
        <v>209</v>
      </c>
      <c r="G309" s="5"/>
      <c r="H309" s="6"/>
      <c r="I309" s="6" t="str">
        <f>CONCATENATE("&lt;desc&gt;",TRIM(A309),"&lt;/desc&gt;")</f>
        <v>&lt;desc&gt;- Matelas épais et confortable
- Maison sans fumée, ni animaux&lt;/desc&gt;</v>
      </c>
      <c r="J309" s="7"/>
    </row>
    <row r="310" spans="1:10" ht="15" customHeight="1" x14ac:dyDescent="0.25">
      <c r="A310" s="17">
        <v>300</v>
      </c>
      <c r="G310" s="5"/>
      <c r="H310" s="6"/>
      <c r="I310" s="6" t="str">
        <f>CONCATENATE("&lt;prix&gt;",TRIM(A310),"&lt;/prix&gt;")</f>
        <v>&lt;prix&gt;300&lt;/prix&gt;</v>
      </c>
      <c r="J310" s="7"/>
    </row>
    <row r="311" spans="1:10" ht="15" customHeight="1" x14ac:dyDescent="0.25">
      <c r="A311" s="1">
        <v>0</v>
      </c>
      <c r="G311" s="5"/>
      <c r="H311" s="6"/>
      <c r="I311" s="6" t="str">
        <f>CONCATENATE("&lt;vendu&gt;",TRIM(A311),"&lt;/vendu&gt;")</f>
        <v>&lt;vendu&gt;0&lt;/vendu&gt;</v>
      </c>
      <c r="J311" s="7"/>
    </row>
    <row r="312" spans="1:10" ht="15" customHeight="1" x14ac:dyDescent="0.25">
      <c r="A312" s="15"/>
      <c r="G312" s="5"/>
      <c r="H312" s="6"/>
      <c r="I312" s="6" t="s">
        <v>6</v>
      </c>
      <c r="J312" s="7"/>
    </row>
    <row r="313" spans="1:10" ht="15" customHeight="1" x14ac:dyDescent="0.25">
      <c r="A313" s="1" t="s">
        <v>158</v>
      </c>
      <c r="G313" s="5"/>
      <c r="H313" s="6"/>
      <c r="I313" s="6"/>
      <c r="J313" s="7" t="str">
        <f>CONCATENATE("&lt;image&gt;",TRIM(A313),"&lt;/image&gt;")</f>
        <v>&lt;image&gt;P1080720.jpg&lt;/image&gt;</v>
      </c>
    </row>
    <row r="314" spans="1:10" ht="15" customHeight="1" x14ac:dyDescent="0.25">
      <c r="A314" s="1" t="s">
        <v>159</v>
      </c>
      <c r="G314" s="5"/>
      <c r="H314" s="6"/>
      <c r="I314" s="6"/>
      <c r="J314" s="7" t="str">
        <f t="shared" ref="J314:J316" si="27">CONCATENATE("&lt;image&gt;",TRIM(A314),"&lt;/image&gt;")</f>
        <v>&lt;image&gt;P1080721.jpg&lt;/image&gt;</v>
      </c>
    </row>
    <row r="315" spans="1:10" ht="15" customHeight="1" x14ac:dyDescent="0.25">
      <c r="A315" s="1" t="s">
        <v>160</v>
      </c>
      <c r="G315" s="5"/>
      <c r="H315" s="6"/>
      <c r="I315" s="6"/>
      <c r="J315" s="7" t="str">
        <f t="shared" si="27"/>
        <v>&lt;image&gt;P1080722.jpg&lt;/image&gt;</v>
      </c>
    </row>
    <row r="316" spans="1:10" ht="15" customHeight="1" x14ac:dyDescent="0.25">
      <c r="A316" s="1" t="s">
        <v>161</v>
      </c>
      <c r="G316" s="5"/>
      <c r="H316" s="6"/>
      <c r="I316" s="6"/>
      <c r="J316" s="7" t="str">
        <f t="shared" si="27"/>
        <v>&lt;image&gt;P1080723.jpg&lt;/image&gt;</v>
      </c>
    </row>
    <row r="317" spans="1:10" ht="15" customHeight="1" x14ac:dyDescent="0.25">
      <c r="A317" s="1" t="s">
        <v>162</v>
      </c>
      <c r="G317" s="5"/>
      <c r="H317" s="6"/>
      <c r="I317" s="6"/>
      <c r="J317" s="7" t="str">
        <f>CONCATENATE("&lt;image&gt;",TRIM(A317),"&lt;/image&gt;")</f>
        <v>&lt;image&gt;P1080724.jpg&lt;/image&gt;</v>
      </c>
    </row>
    <row r="318" spans="1:10" ht="15" customHeight="1" x14ac:dyDescent="0.25">
      <c r="A318" s="1" t="s">
        <v>163</v>
      </c>
      <c r="G318" s="5"/>
      <c r="H318" s="6"/>
      <c r="I318" s="6"/>
      <c r="J318" s="7" t="str">
        <f t="shared" ref="J318:J320" si="28">CONCATENATE("&lt;image&gt;",TRIM(A318),"&lt;/image&gt;")</f>
        <v>&lt;image&gt;P1080725.jpg&lt;/image&gt;</v>
      </c>
    </row>
    <row r="319" spans="1:10" ht="15" customHeight="1" x14ac:dyDescent="0.25">
      <c r="A319" s="1" t="s">
        <v>164</v>
      </c>
      <c r="G319" s="5"/>
      <c r="H319" s="6"/>
      <c r="I319" s="6"/>
      <c r="J319" s="7" t="str">
        <f t="shared" si="28"/>
        <v>&lt;image&gt;P1080726.jpg&lt;/image&gt;</v>
      </c>
    </row>
    <row r="320" spans="1:10" ht="15" customHeight="1" x14ac:dyDescent="0.25">
      <c r="A320" s="1" t="s">
        <v>165</v>
      </c>
      <c r="G320" s="5"/>
      <c r="H320" s="6"/>
      <c r="I320" s="6"/>
      <c r="J320" s="7" t="str">
        <f t="shared" si="28"/>
        <v>&lt;image&gt;P1080727.jpg&lt;/image&gt;</v>
      </c>
    </row>
    <row r="321" spans="1:10" ht="15" customHeight="1" x14ac:dyDescent="0.25">
      <c r="A321" s="15"/>
      <c r="G321" s="5"/>
      <c r="H321" s="6"/>
      <c r="I321" s="6" t="s">
        <v>7</v>
      </c>
      <c r="J321" s="7"/>
    </row>
    <row r="322" spans="1:10" ht="15" customHeight="1" x14ac:dyDescent="0.25">
      <c r="A322" s="15"/>
      <c r="G322" s="5"/>
      <c r="H322" s="6" t="s">
        <v>4</v>
      </c>
      <c r="I322" s="6"/>
      <c r="J322" s="7"/>
    </row>
    <row r="323" spans="1:10" ht="15" customHeight="1" x14ac:dyDescent="0.25">
      <c r="A323" s="16">
        <f>A307+1</f>
        <v>27</v>
      </c>
      <c r="G323" s="5"/>
      <c r="H323" s="6" t="str">
        <f>CONCATENATE("&lt;article id=""",A323,"""&gt;")</f>
        <v>&lt;article id="27"&gt;</v>
      </c>
      <c r="I323" s="6"/>
      <c r="J323" s="7"/>
    </row>
    <row r="324" spans="1:10" ht="15" customHeight="1" x14ac:dyDescent="0.25">
      <c r="A324" s="13" t="s">
        <v>109</v>
      </c>
      <c r="G324" s="5"/>
      <c r="H324" s="6"/>
      <c r="I324" s="6" t="str">
        <f>CONCATENATE("&lt;titre&gt;",TRIM(A324),"&lt;/titre&gt;")</f>
        <v>&lt;titre&gt;Lit bébé&lt;/titre&gt;</v>
      </c>
      <c r="J324" s="7"/>
    </row>
    <row r="325" spans="1:10" ht="15" customHeight="1" x14ac:dyDescent="0.25">
      <c r="A325" s="12" t="s">
        <v>298</v>
      </c>
      <c r="G325" s="5"/>
      <c r="H325" s="6"/>
      <c r="I325" s="6" t="str">
        <f>CONCATENATE("&lt;desc&gt;",TRIM(A325),"&lt;/desc&gt;")</f>
        <v>&lt;desc&gt;- 1 protège matelas 
- 1 drap-housse
- 1 couverture
- 1 matelas en très bon état (aucune tâche)
- Très solide
- Possibilité de modifier le lit pour l&amp;apos;ouvrir à l&amp;apos;avant (Barre d&amp;apos;adaptation fournie)
- 6 positions possibles pour la hauteur du matelas
- 1 Guide d&amp;apos;instructions
Maison sans fumée, ni animaux&lt;/desc&gt;</v>
      </c>
      <c r="J325" s="7"/>
    </row>
    <row r="326" spans="1:10" ht="15" customHeight="1" x14ac:dyDescent="0.25">
      <c r="A326" s="17">
        <v>90</v>
      </c>
      <c r="G326" s="5"/>
      <c r="H326" s="6"/>
      <c r="I326" s="6" t="str">
        <f>CONCATENATE("&lt;prix&gt;",TRIM(A326),"&lt;/prix&gt;")</f>
        <v>&lt;prix&gt;90&lt;/prix&gt;</v>
      </c>
      <c r="J326" s="7"/>
    </row>
    <row r="327" spans="1:10" ht="15" customHeight="1" x14ac:dyDescent="0.25">
      <c r="A327" s="1">
        <v>0</v>
      </c>
      <c r="G327" s="5"/>
      <c r="H327" s="6"/>
      <c r="I327" s="6" t="str">
        <f>CONCATENATE("&lt;vendu&gt;",TRIM(A327),"&lt;/vendu&gt;")</f>
        <v>&lt;vendu&gt;0&lt;/vendu&gt;</v>
      </c>
      <c r="J327" s="7"/>
    </row>
    <row r="328" spans="1:10" ht="15" customHeight="1" x14ac:dyDescent="0.25">
      <c r="A328" s="15"/>
      <c r="G328" s="5"/>
      <c r="H328" s="6"/>
      <c r="I328" s="6" t="s">
        <v>6</v>
      </c>
      <c r="J328" s="7"/>
    </row>
    <row r="329" spans="1:10" ht="15" customHeight="1" x14ac:dyDescent="0.25">
      <c r="A329" s="1" t="s">
        <v>190</v>
      </c>
      <c r="G329" s="5"/>
      <c r="H329" s="6"/>
      <c r="I329" s="6"/>
      <c r="J329" s="7" t="str">
        <f>CONCATENATE("&lt;image&gt;",TRIM(A329),"&lt;/image&gt;")</f>
        <v>&lt;image&gt;P1080801.jpg&lt;/image&gt;</v>
      </c>
    </row>
    <row r="330" spans="1:10" ht="15" customHeight="1" x14ac:dyDescent="0.25">
      <c r="A330" s="1" t="s">
        <v>191</v>
      </c>
      <c r="G330" s="5"/>
      <c r="H330" s="6"/>
      <c r="I330" s="6"/>
      <c r="J330" s="7" t="str">
        <f t="shared" ref="J330:J332" si="29">CONCATENATE("&lt;image&gt;",TRIM(A330),"&lt;/image&gt;")</f>
        <v>&lt;image&gt;P1080802.jpg&lt;/image&gt;</v>
      </c>
    </row>
    <row r="331" spans="1:10" ht="15" customHeight="1" x14ac:dyDescent="0.25">
      <c r="A331" s="1" t="s">
        <v>192</v>
      </c>
      <c r="G331" s="5"/>
      <c r="H331" s="6"/>
      <c r="I331" s="6"/>
      <c r="J331" s="7" t="str">
        <f t="shared" si="29"/>
        <v>&lt;image&gt;P1080803.jpg&lt;/image&gt;</v>
      </c>
    </row>
    <row r="332" spans="1:10" ht="15" customHeight="1" x14ac:dyDescent="0.25">
      <c r="A332" s="1" t="s">
        <v>193</v>
      </c>
      <c r="G332" s="5"/>
      <c r="H332" s="6"/>
      <c r="I332" s="6"/>
      <c r="J332" s="7" t="str">
        <f t="shared" si="29"/>
        <v>&lt;image&gt;P1080809.jpg&lt;/image&gt;</v>
      </c>
    </row>
    <row r="333" spans="1:10" ht="15" customHeight="1" x14ac:dyDescent="0.25">
      <c r="A333" s="1" t="s">
        <v>296</v>
      </c>
      <c r="G333" s="5"/>
      <c r="H333" s="6"/>
      <c r="I333" s="6"/>
      <c r="J333" s="7" t="str">
        <f t="shared" ref="J333:J334" si="30">CONCATENATE("&lt;image&gt;",TRIM(A333),"&lt;/image&gt;")</f>
        <v>&lt;image&gt;P1080967.jpg&lt;/image&gt;</v>
      </c>
    </row>
    <row r="334" spans="1:10" ht="15" customHeight="1" x14ac:dyDescent="0.25">
      <c r="A334" s="1" t="s">
        <v>297</v>
      </c>
      <c r="G334" s="5"/>
      <c r="H334" s="6"/>
      <c r="I334" s="6"/>
      <c r="J334" s="7" t="str">
        <f t="shared" si="30"/>
        <v>&lt;image&gt;P1080968.jpg&lt;/image&gt;</v>
      </c>
    </row>
    <row r="335" spans="1:10" ht="15" customHeight="1" x14ac:dyDescent="0.25">
      <c r="A335" s="15"/>
      <c r="G335" s="5"/>
      <c r="H335" s="6"/>
      <c r="I335" s="6" t="s">
        <v>7</v>
      </c>
      <c r="J335" s="7"/>
    </row>
    <row r="336" spans="1:10" ht="15" customHeight="1" x14ac:dyDescent="0.25">
      <c r="A336" s="15"/>
      <c r="G336" s="5"/>
      <c r="H336" s="6" t="s">
        <v>4</v>
      </c>
      <c r="I336" s="6"/>
      <c r="J336" s="7"/>
    </row>
    <row r="337" spans="1:10" ht="15" customHeight="1" x14ac:dyDescent="0.25">
      <c r="A337" s="16">
        <f>A323+1</f>
        <v>28</v>
      </c>
      <c r="G337" s="5"/>
      <c r="H337" s="6" t="str">
        <f>CONCATENATE("&lt;article id=""",A337,"""&gt;")</f>
        <v>&lt;article id="28"&gt;</v>
      </c>
      <c r="I337" s="6"/>
      <c r="J337" s="7"/>
    </row>
    <row r="338" spans="1:10" ht="15" customHeight="1" x14ac:dyDescent="0.25">
      <c r="A338" s="13" t="s">
        <v>169</v>
      </c>
      <c r="G338" s="5"/>
      <c r="H338" s="6"/>
      <c r="I338" s="6" t="str">
        <f>CONCATENATE("&lt;titre&gt;",TRIM(A338),"&lt;/titre&gt;")</f>
        <v>&lt;titre&gt;Meuble - Rangements pour jouets&lt;/titre&gt;</v>
      </c>
      <c r="J338" s="7"/>
    </row>
    <row r="339" spans="1:10" ht="15" customHeight="1" x14ac:dyDescent="0.25">
      <c r="A339" s="12" t="s">
        <v>216</v>
      </c>
      <c r="G339" s="5"/>
      <c r="H339" s="6"/>
      <c r="I339" s="6" t="str">
        <f>CONCATENATE("&lt;desc&gt;",TRIM(A339),"&lt;/desc&gt;")</f>
        <v>&lt;desc&gt;- Founi avec 5 grands bacs et 2 petits 
- Un des bacs rouges est brisé
- Dimensions (largeur x profondeur x hauteur) : 39&amp;apos;&amp;apos; x 17.5&amp;apos;&amp;apos; x 37&amp;apos;&amp;apos;&lt;/desc&gt;</v>
      </c>
      <c r="J339" s="7"/>
    </row>
    <row r="340" spans="1:10" ht="15" customHeight="1" x14ac:dyDescent="0.25">
      <c r="A340" s="17">
        <v>45</v>
      </c>
      <c r="G340" s="5"/>
      <c r="H340" s="6"/>
      <c r="I340" s="6" t="str">
        <f>CONCATENATE("&lt;prix&gt;",TRIM(A340),"&lt;/prix&gt;")</f>
        <v>&lt;prix&gt;45&lt;/prix&gt;</v>
      </c>
      <c r="J340" s="7"/>
    </row>
    <row r="341" spans="1:10" ht="15" customHeight="1" x14ac:dyDescent="0.25">
      <c r="A341" s="1">
        <v>1</v>
      </c>
      <c r="G341" s="5"/>
      <c r="H341" s="6"/>
      <c r="I341" s="6" t="str">
        <f>CONCATENATE("&lt;vendu&gt;",TRIM(A341),"&lt;/vendu&gt;")</f>
        <v>&lt;vendu&gt;1&lt;/vendu&gt;</v>
      </c>
      <c r="J341" s="7"/>
    </row>
    <row r="342" spans="1:10" ht="15" customHeight="1" x14ac:dyDescent="0.25">
      <c r="A342" s="15"/>
      <c r="G342" s="5"/>
      <c r="H342" s="6"/>
      <c r="I342" s="6" t="s">
        <v>6</v>
      </c>
      <c r="J342" s="7"/>
    </row>
    <row r="343" spans="1:10" ht="15" customHeight="1" x14ac:dyDescent="0.25">
      <c r="A343" s="1" t="s">
        <v>188</v>
      </c>
      <c r="G343" s="5"/>
      <c r="H343" s="6"/>
      <c r="I343" s="6"/>
      <c r="J343" s="7" t="str">
        <f>CONCATENATE("&lt;image&gt;",TRIM(A343),"&lt;/image&gt;")</f>
        <v>&lt;image&gt;P1080777.jpg&lt;/image&gt;</v>
      </c>
    </row>
    <row r="344" spans="1:10" ht="15" customHeight="1" x14ac:dyDescent="0.25">
      <c r="A344" s="1" t="s">
        <v>189</v>
      </c>
      <c r="G344" s="5"/>
      <c r="H344" s="6"/>
      <c r="I344" s="6"/>
      <c r="J344" s="7" t="str">
        <f>CONCATENATE("&lt;image&gt;",TRIM(A344),"&lt;/image&gt;")</f>
        <v>&lt;image&gt;P1080778.jpg&lt;/image&gt;</v>
      </c>
    </row>
    <row r="345" spans="1:10" ht="15" customHeight="1" x14ac:dyDescent="0.25">
      <c r="A345" s="15"/>
      <c r="G345" s="5"/>
      <c r="H345" s="6"/>
      <c r="I345" s="6" t="s">
        <v>7</v>
      </c>
      <c r="J345" s="7"/>
    </row>
    <row r="346" spans="1:10" ht="15" customHeight="1" x14ac:dyDescent="0.25">
      <c r="A346" s="15"/>
      <c r="G346" s="5"/>
      <c r="H346" s="6" t="s">
        <v>4</v>
      </c>
      <c r="I346" s="6"/>
      <c r="J346" s="7"/>
    </row>
    <row r="347" spans="1:10" ht="15" customHeight="1" x14ac:dyDescent="0.25">
      <c r="A347" s="16">
        <f>A337+1</f>
        <v>29</v>
      </c>
      <c r="G347" s="5"/>
      <c r="H347" s="6" t="str">
        <f>CONCATENATE("&lt;article id=""",A347,"""&gt;")</f>
        <v>&lt;article id="29"&gt;</v>
      </c>
      <c r="I347" s="6"/>
      <c r="J347" s="7"/>
    </row>
    <row r="348" spans="1:10" ht="15" customHeight="1" x14ac:dyDescent="0.25">
      <c r="A348" s="13" t="s">
        <v>142</v>
      </c>
      <c r="G348" s="5"/>
      <c r="H348" s="6"/>
      <c r="I348" s="6" t="str">
        <f>CONCATENATE("&lt;titre&gt;",TRIM(A348),"&lt;/titre&gt;")</f>
        <v>&lt;titre&gt;Robot Culinaire Black&amp;amp;Decker&lt;/titre&gt;</v>
      </c>
      <c r="J348" s="7"/>
    </row>
    <row r="349" spans="1:10" ht="15" customHeight="1" x14ac:dyDescent="0.25">
      <c r="A349" s="12" t="s">
        <v>145</v>
      </c>
      <c r="G349" s="5"/>
      <c r="H349" s="6"/>
      <c r="I349" s="6" t="str">
        <f>CONCATENATE("&lt;desc&gt;",TRIM(A349),"&lt;/desc&gt;")</f>
        <v>&lt;desc&gt;- Robot culinaire de 2.4 litres (10 tasses)
- Mélangeur de 1.4 litre (6 tasses)
- Lames en acier inoxidable
- Pieds ventouses
- Moteur de 600W
- 2 vitesses + bouton à impulsion
- Fourni dans sa boite d&amp;apos;origine avec livret d&amp;apos;instructions&lt;/desc&gt;</v>
      </c>
      <c r="J349" s="7"/>
    </row>
    <row r="350" spans="1:10" ht="15" customHeight="1" x14ac:dyDescent="0.25">
      <c r="A350" s="17">
        <v>50</v>
      </c>
      <c r="G350" s="5"/>
      <c r="H350" s="6"/>
      <c r="I350" s="6" t="str">
        <f>CONCATENATE("&lt;prix&gt;",TRIM(A350),"&lt;/prix&gt;")</f>
        <v>&lt;prix&gt;50&lt;/prix&gt;</v>
      </c>
      <c r="J350" s="7"/>
    </row>
    <row r="351" spans="1:10" ht="15" customHeight="1" x14ac:dyDescent="0.25">
      <c r="A351" s="1">
        <v>1</v>
      </c>
      <c r="G351" s="5"/>
      <c r="H351" s="6"/>
      <c r="I351" s="6" t="str">
        <f>CONCATENATE("&lt;vendu&gt;",TRIM(A351),"&lt;/vendu&gt;")</f>
        <v>&lt;vendu&gt;1&lt;/vendu&gt;</v>
      </c>
      <c r="J351" s="7"/>
    </row>
    <row r="352" spans="1:10" ht="15" customHeight="1" x14ac:dyDescent="0.25">
      <c r="A352" s="15"/>
      <c r="G352" s="5"/>
      <c r="H352" s="6"/>
      <c r="I352" s="6" t="s">
        <v>6</v>
      </c>
      <c r="J352" s="7"/>
    </row>
    <row r="353" spans="1:10" ht="15" customHeight="1" x14ac:dyDescent="0.25">
      <c r="A353" s="1" t="s">
        <v>184</v>
      </c>
      <c r="G353" s="5"/>
      <c r="H353" s="6"/>
      <c r="I353" s="6"/>
      <c r="J353" s="7" t="str">
        <f>CONCATENATE("&lt;image&gt;",TRIM(A353),"&lt;/image&gt;")</f>
        <v>&lt;image&gt;P1080779.jpg&lt;/image&gt;</v>
      </c>
    </row>
    <row r="354" spans="1:10" ht="15" customHeight="1" x14ac:dyDescent="0.25">
      <c r="A354" s="1" t="s">
        <v>185</v>
      </c>
      <c r="G354" s="5"/>
      <c r="H354" s="6"/>
      <c r="I354" s="6"/>
      <c r="J354" s="7" t="str">
        <f t="shared" ref="J354:J356" si="31">CONCATENATE("&lt;image&gt;",TRIM(A354),"&lt;/image&gt;")</f>
        <v>&lt;image&gt;P1080780.jpg&lt;/image&gt;</v>
      </c>
    </row>
    <row r="355" spans="1:10" ht="15" customHeight="1" x14ac:dyDescent="0.25">
      <c r="A355" s="1" t="s">
        <v>186</v>
      </c>
      <c r="G355" s="5"/>
      <c r="H355" s="6"/>
      <c r="I355" s="6"/>
      <c r="J355" s="7" t="str">
        <f t="shared" si="31"/>
        <v>&lt;image&gt;P1080781.jpg&lt;/image&gt;</v>
      </c>
    </row>
    <row r="356" spans="1:10" ht="15" customHeight="1" x14ac:dyDescent="0.25">
      <c r="A356" s="1" t="s">
        <v>187</v>
      </c>
      <c r="G356" s="5"/>
      <c r="H356" s="6"/>
      <c r="I356" s="6"/>
      <c r="J356" s="7" t="str">
        <f t="shared" si="31"/>
        <v>&lt;image&gt;P1080782.jpg&lt;/image&gt;</v>
      </c>
    </row>
    <row r="357" spans="1:10" ht="15" customHeight="1" x14ac:dyDescent="0.25">
      <c r="A357" s="15"/>
      <c r="G357" s="5"/>
      <c r="H357" s="6"/>
      <c r="I357" s="6" t="s">
        <v>7</v>
      </c>
      <c r="J357" s="7"/>
    </row>
    <row r="358" spans="1:10" ht="15" customHeight="1" x14ac:dyDescent="0.25">
      <c r="A358" s="15"/>
      <c r="G358" s="5"/>
      <c r="H358" s="6" t="s">
        <v>4</v>
      </c>
      <c r="I358" s="6"/>
      <c r="J358" s="7"/>
    </row>
    <row r="359" spans="1:10" ht="15" customHeight="1" x14ac:dyDescent="0.25">
      <c r="A359" s="16">
        <f>A347+1</f>
        <v>30</v>
      </c>
      <c r="G359" s="5"/>
      <c r="H359" s="6" t="str">
        <f>CONCATENATE("&lt;article id=""",A359,"""&gt;")</f>
        <v>&lt;article id="30"&gt;</v>
      </c>
      <c r="I359" s="6"/>
      <c r="J359" s="7"/>
    </row>
    <row r="360" spans="1:10" ht="15" customHeight="1" x14ac:dyDescent="0.25">
      <c r="A360" s="13" t="s">
        <v>118</v>
      </c>
      <c r="G360" s="5"/>
      <c r="H360" s="6"/>
      <c r="I360" s="6" t="str">
        <f>CONCATENATE("&lt;titre&gt;",TRIM(A360),"&lt;/titre&gt;")</f>
        <v>&lt;titre&gt;Causeuse&lt;/titre&gt;</v>
      </c>
      <c r="J360" s="7"/>
    </row>
    <row r="361" spans="1:10" ht="15" customHeight="1" x14ac:dyDescent="0.25">
      <c r="A361" s="12" t="s">
        <v>146</v>
      </c>
      <c r="G361" s="5"/>
      <c r="H361" s="6"/>
      <c r="I361" s="6" t="str">
        <f>CONCATENATE("&lt;desc&gt;",TRIM(A361),"&lt;/desc&gt;")</f>
        <v>&lt;desc&gt;- Très bon état, pas de trace d&amp;apos;usure
- Maison sans fumée, ni animaux&lt;/desc&gt;</v>
      </c>
      <c r="J361" s="7"/>
    </row>
    <row r="362" spans="1:10" ht="15" customHeight="1" x14ac:dyDescent="0.25">
      <c r="A362" s="17">
        <v>200</v>
      </c>
      <c r="G362" s="5"/>
      <c r="H362" s="6"/>
      <c r="I362" s="6" t="str">
        <f>CONCATENATE("&lt;prix&gt;",TRIM(A362),"&lt;/prix&gt;")</f>
        <v>&lt;prix&gt;200&lt;/prix&gt;</v>
      </c>
      <c r="J362" s="7"/>
    </row>
    <row r="363" spans="1:10" ht="15" customHeight="1" x14ac:dyDescent="0.25">
      <c r="A363" s="1">
        <v>0</v>
      </c>
      <c r="G363" s="5"/>
      <c r="H363" s="6"/>
      <c r="I363" s="6" t="str">
        <f>CONCATENATE("&lt;vendu&gt;",TRIM(A363),"&lt;/vendu&gt;")</f>
        <v>&lt;vendu&gt;0&lt;/vendu&gt;</v>
      </c>
      <c r="J363" s="7"/>
    </row>
    <row r="364" spans="1:10" ht="15" customHeight="1" x14ac:dyDescent="0.25">
      <c r="A364" s="15"/>
      <c r="G364" s="5"/>
      <c r="H364" s="6"/>
      <c r="I364" s="6" t="s">
        <v>6</v>
      </c>
      <c r="J364" s="7"/>
    </row>
    <row r="365" spans="1:10" ht="15" customHeight="1" x14ac:dyDescent="0.25">
      <c r="A365" s="1" t="s">
        <v>183</v>
      </c>
      <c r="G365" s="5"/>
      <c r="H365" s="6"/>
      <c r="I365" s="6"/>
      <c r="J365" s="7" t="str">
        <f>CONCATENATE("&lt;image&gt;",TRIM(A365),"&lt;/image&gt;")</f>
        <v>&lt;image&gt;P1080776.jpg&lt;/image&gt;</v>
      </c>
    </row>
    <row r="366" spans="1:10" ht="15" customHeight="1" x14ac:dyDescent="0.25">
      <c r="A366" s="1" t="s">
        <v>149</v>
      </c>
      <c r="G366" s="5"/>
      <c r="H366" s="6"/>
      <c r="I366" s="6"/>
      <c r="J366" s="7" t="str">
        <f>CONCATENATE("&lt;image&gt;",TRIM(A366),"&lt;/image&gt;")</f>
        <v>&lt;image&gt;P1080732.jpg&lt;/image&gt;</v>
      </c>
    </row>
    <row r="367" spans="1:10" ht="15" customHeight="1" x14ac:dyDescent="0.25">
      <c r="A367" s="1" t="s">
        <v>150</v>
      </c>
      <c r="G367" s="5"/>
      <c r="H367" s="6"/>
      <c r="I367" s="6"/>
      <c r="J367" s="7" t="str">
        <f t="shared" ref="J367:J369" si="32">CONCATENATE("&lt;image&gt;",TRIM(A367),"&lt;/image&gt;")</f>
        <v>&lt;image&gt;P1080733.jpg&lt;/image&gt;</v>
      </c>
    </row>
    <row r="368" spans="1:10" ht="15" customHeight="1" x14ac:dyDescent="0.25">
      <c r="A368" s="1" t="s">
        <v>151</v>
      </c>
      <c r="G368" s="5"/>
      <c r="H368" s="6"/>
      <c r="I368" s="6"/>
      <c r="J368" s="7" t="str">
        <f t="shared" si="32"/>
        <v>&lt;image&gt;P1080734.jpg&lt;/image&gt;</v>
      </c>
    </row>
    <row r="369" spans="1:10" ht="15" customHeight="1" x14ac:dyDescent="0.25">
      <c r="A369" s="1" t="s">
        <v>152</v>
      </c>
      <c r="G369" s="5"/>
      <c r="H369" s="6"/>
      <c r="I369" s="6"/>
      <c r="J369" s="7" t="str">
        <f t="shared" si="32"/>
        <v>&lt;image&gt;P1080735.jpg&lt;/image&gt;</v>
      </c>
    </row>
    <row r="370" spans="1:10" ht="15" customHeight="1" x14ac:dyDescent="0.25">
      <c r="A370" s="15"/>
      <c r="G370" s="5"/>
      <c r="H370" s="6"/>
      <c r="I370" s="6" t="s">
        <v>7</v>
      </c>
      <c r="J370" s="7"/>
    </row>
    <row r="371" spans="1:10" ht="15" customHeight="1" x14ac:dyDescent="0.25">
      <c r="A371" s="15"/>
      <c r="G371" s="5"/>
      <c r="H371" s="6" t="s">
        <v>4</v>
      </c>
      <c r="I371" s="6"/>
      <c r="J371" s="7"/>
    </row>
    <row r="372" spans="1:10" ht="15" customHeight="1" x14ac:dyDescent="0.25">
      <c r="A372" s="16">
        <f>A359+1</f>
        <v>31</v>
      </c>
      <c r="G372" s="5"/>
      <c r="H372" s="6" t="str">
        <f>CONCATENATE("&lt;article id=""",A372,"""&gt;")</f>
        <v>&lt;article id="31"&gt;</v>
      </c>
      <c r="I372" s="6"/>
      <c r="J372" s="7"/>
    </row>
    <row r="373" spans="1:10" ht="15" customHeight="1" x14ac:dyDescent="0.25">
      <c r="A373" s="13" t="s">
        <v>119</v>
      </c>
      <c r="G373" s="5"/>
      <c r="H373" s="6"/>
      <c r="I373" s="6" t="str">
        <f>CONCATENATE("&lt;titre&gt;",TRIM(A373),"&lt;/titre&gt;")</f>
        <v>&lt;titre&gt;Micro-ondes&lt;/titre&gt;</v>
      </c>
      <c r="J373" s="7"/>
    </row>
    <row r="374" spans="1:10" ht="15" customHeight="1" x14ac:dyDescent="0.25">
      <c r="A374" s="12" t="s">
        <v>147</v>
      </c>
      <c r="G374" s="5"/>
      <c r="H374" s="6"/>
      <c r="I374" s="6" t="str">
        <f>CONCATENATE("&lt;desc&gt;",TRIM(A374),"&lt;/desc&gt;")</f>
        <v>&lt;desc&gt;- 1.1 pieds cube
- 1000 Watts
- Auto et Quick Defrost
- Auto Cook
- Protection enfant
- Horloge
- Fourni dans sa boite d&amp;apos;origine avec livret d&amp;apos;instructions
- Energy Savin&lt;/desc&gt;</v>
      </c>
      <c r="J374" s="7"/>
    </row>
    <row r="375" spans="1:10" ht="15" customHeight="1" x14ac:dyDescent="0.25">
      <c r="A375" s="17">
        <v>50</v>
      </c>
      <c r="G375" s="5"/>
      <c r="H375" s="6"/>
      <c r="I375" s="6" t="str">
        <f>CONCATENATE("&lt;prix&gt;",TRIM(A375),"&lt;/prix&gt;")</f>
        <v>&lt;prix&gt;50&lt;/prix&gt;</v>
      </c>
      <c r="J375" s="7"/>
    </row>
    <row r="376" spans="1:10" ht="15" customHeight="1" x14ac:dyDescent="0.25">
      <c r="A376" s="1">
        <v>1</v>
      </c>
      <c r="G376" s="5"/>
      <c r="H376" s="6"/>
      <c r="I376" s="6" t="str">
        <f>CONCATENATE("&lt;vendu&gt;",TRIM(A376),"&lt;/vendu&gt;")</f>
        <v>&lt;vendu&gt;1&lt;/vendu&gt;</v>
      </c>
      <c r="J376" s="7"/>
    </row>
    <row r="377" spans="1:10" ht="15" customHeight="1" x14ac:dyDescent="0.25">
      <c r="A377" s="15"/>
      <c r="G377" s="5"/>
      <c r="H377" s="6"/>
      <c r="I377" s="6" t="s">
        <v>6</v>
      </c>
      <c r="J377" s="7"/>
    </row>
    <row r="378" spans="1:10" ht="15" customHeight="1" x14ac:dyDescent="0.25">
      <c r="A378" s="1" t="s">
        <v>117</v>
      </c>
      <c r="G378" s="5"/>
      <c r="H378" s="6"/>
      <c r="I378" s="6"/>
      <c r="J378" s="7" t="str">
        <f>CONCATENATE("&lt;image&gt;",TRIM(A378),"&lt;/image&gt;")</f>
        <v>&lt;image&gt;A_venir.png&lt;/image&gt;</v>
      </c>
    </row>
    <row r="379" spans="1:10" ht="15" customHeight="1" x14ac:dyDescent="0.25">
      <c r="A379" s="15"/>
      <c r="G379" s="5"/>
      <c r="H379" s="6"/>
      <c r="I379" s="6" t="s">
        <v>7</v>
      </c>
      <c r="J379" s="7"/>
    </row>
    <row r="380" spans="1:10" ht="15" customHeight="1" x14ac:dyDescent="0.25">
      <c r="A380" s="15"/>
      <c r="G380" s="5"/>
      <c r="H380" s="6" t="s">
        <v>4</v>
      </c>
      <c r="I380" s="6"/>
      <c r="J380" s="7"/>
    </row>
    <row r="381" spans="1:10" ht="15" customHeight="1" x14ac:dyDescent="0.25">
      <c r="A381" s="16">
        <f>A372+1</f>
        <v>32</v>
      </c>
      <c r="G381" s="5"/>
      <c r="H381" s="6" t="str">
        <f>CONCATENATE("&lt;article id=""",A381,"""&gt;")</f>
        <v>&lt;article id="32"&gt;</v>
      </c>
      <c r="I381" s="6"/>
      <c r="J381" s="7"/>
    </row>
    <row r="382" spans="1:10" ht="15" customHeight="1" x14ac:dyDescent="0.25">
      <c r="A382" s="13" t="s">
        <v>170</v>
      </c>
      <c r="G382" s="5"/>
      <c r="H382" s="6"/>
      <c r="I382" s="6" t="str">
        <f>CONCATENATE("&lt;titre&gt;",TRIM(A382),"&lt;/titre&gt;")</f>
        <v>&lt;titre&gt;Tête de lit + Sommier + Cadre de lit&lt;/titre&gt;</v>
      </c>
      <c r="J382" s="7"/>
    </row>
    <row r="383" spans="1:10" ht="15" customHeight="1" x14ac:dyDescent="0.25">
      <c r="A383" s="12" t="s">
        <v>211</v>
      </c>
      <c r="G383" s="5"/>
      <c r="H383" s="6"/>
      <c r="I383" s="6" t="str">
        <f>CONCATENATE("&lt;desc&gt;",TRIM(A383),"&lt;/desc&gt;")</f>
        <v>&lt;desc&gt;- Tête de lit avec rangements
- Sommier en bois recouvert d&amp;apos;une toile
- Cadre de lit sur roulettes avec frein
- Taille Queen&lt;/desc&gt;</v>
      </c>
      <c r="J383" s="7"/>
    </row>
    <row r="384" spans="1:10" ht="15" customHeight="1" x14ac:dyDescent="0.25">
      <c r="A384" s="17">
        <v>90</v>
      </c>
      <c r="G384" s="5"/>
      <c r="H384" s="6"/>
      <c r="I384" s="6" t="str">
        <f>CONCATENATE("&lt;prix&gt;",TRIM(A384),"&lt;/prix&gt;")</f>
        <v>&lt;prix&gt;90&lt;/prix&gt;</v>
      </c>
      <c r="J384" s="7"/>
    </row>
    <row r="385" spans="1:10" ht="15" customHeight="1" x14ac:dyDescent="0.25">
      <c r="A385" s="1">
        <v>1</v>
      </c>
      <c r="G385" s="5"/>
      <c r="H385" s="6"/>
      <c r="I385" s="6" t="str">
        <f>CONCATENATE("&lt;vendu&gt;",TRIM(A385),"&lt;/vendu&gt;")</f>
        <v>&lt;vendu&gt;1&lt;/vendu&gt;</v>
      </c>
      <c r="J385" s="7"/>
    </row>
    <row r="386" spans="1:10" ht="15" customHeight="1" x14ac:dyDescent="0.25">
      <c r="A386" s="15"/>
      <c r="G386" s="5"/>
      <c r="H386" s="6"/>
      <c r="I386" s="6" t="s">
        <v>6</v>
      </c>
      <c r="J386" s="7"/>
    </row>
    <row r="387" spans="1:10" ht="15" customHeight="1" x14ac:dyDescent="0.25">
      <c r="A387" s="1" t="s">
        <v>180</v>
      </c>
      <c r="G387" s="5"/>
      <c r="H387" s="6"/>
      <c r="I387" s="6"/>
      <c r="J387" s="7" t="str">
        <f>CONCATENATE("&lt;image&gt;",TRIM(A387),"&lt;/image&gt;")</f>
        <v>&lt;image&gt;P1080768.jpg&lt;/image&gt;</v>
      </c>
    </row>
    <row r="388" spans="1:10" ht="15" customHeight="1" x14ac:dyDescent="0.25">
      <c r="A388" s="1" t="s">
        <v>167</v>
      </c>
      <c r="G388" s="5"/>
      <c r="H388" s="6"/>
      <c r="I388" s="6"/>
      <c r="J388" s="7" t="str">
        <f t="shared" ref="J388:J389" si="33">CONCATENATE("&lt;image&gt;",TRIM(A388),"&lt;/image&gt;")</f>
        <v>&lt;image&gt;P1080742.jpg&lt;/image&gt;</v>
      </c>
    </row>
    <row r="389" spans="1:10" ht="15" customHeight="1" x14ac:dyDescent="0.25">
      <c r="A389" s="1" t="s">
        <v>168</v>
      </c>
      <c r="G389" s="5"/>
      <c r="H389" s="6"/>
      <c r="I389" s="6"/>
      <c r="J389" s="7" t="str">
        <f t="shared" si="33"/>
        <v>&lt;image&gt;P1080743.jpg&lt;/image&gt;</v>
      </c>
    </row>
    <row r="390" spans="1:10" ht="15" customHeight="1" x14ac:dyDescent="0.25">
      <c r="A390" s="1" t="s">
        <v>166</v>
      </c>
      <c r="G390" s="5"/>
      <c r="H390" s="6"/>
      <c r="I390" s="6"/>
      <c r="J390" s="7" t="str">
        <f>CONCATENATE("&lt;image&gt;",TRIM(A390),"&lt;/image&gt;")</f>
        <v>&lt;image&gt;P1080741.jpg&lt;/image&gt;</v>
      </c>
    </row>
    <row r="391" spans="1:10" ht="15" customHeight="1" x14ac:dyDescent="0.25">
      <c r="A391" s="1" t="s">
        <v>181</v>
      </c>
      <c r="G391" s="5"/>
      <c r="H391" s="6"/>
      <c r="I391" s="6"/>
      <c r="J391" s="7" t="str">
        <f t="shared" ref="J391:J392" si="34">CONCATENATE("&lt;image&gt;",TRIM(A391),"&lt;/image&gt;")</f>
        <v>&lt;image&gt;P1080772.jpg&lt;/image&gt;</v>
      </c>
    </row>
    <row r="392" spans="1:10" ht="15" customHeight="1" x14ac:dyDescent="0.25">
      <c r="A392" s="1" t="s">
        <v>182</v>
      </c>
      <c r="G392" s="5"/>
      <c r="H392" s="6"/>
      <c r="I392" s="6"/>
      <c r="J392" s="7" t="str">
        <f t="shared" si="34"/>
        <v>&lt;image&gt;P1080775.jpg&lt;/image&gt;</v>
      </c>
    </row>
    <row r="393" spans="1:10" ht="15" customHeight="1" x14ac:dyDescent="0.25">
      <c r="A393" s="15"/>
      <c r="G393" s="5"/>
      <c r="H393" s="6"/>
      <c r="I393" s="6" t="s">
        <v>7</v>
      </c>
      <c r="J393" s="7"/>
    </row>
    <row r="394" spans="1:10" ht="15" customHeight="1" x14ac:dyDescent="0.25">
      <c r="A394" s="15"/>
      <c r="G394" s="5"/>
      <c r="H394" s="6" t="s">
        <v>4</v>
      </c>
      <c r="I394" s="6"/>
      <c r="J394" s="7"/>
    </row>
    <row r="395" spans="1:10" ht="15" customHeight="1" x14ac:dyDescent="0.25">
      <c r="A395" s="16">
        <f>A381+1</f>
        <v>33</v>
      </c>
      <c r="G395" s="5"/>
      <c r="H395" s="6" t="str">
        <f>CONCATENATE("&lt;article id=""",A395,"""&gt;")</f>
        <v>&lt;article id="33"&gt;</v>
      </c>
      <c r="I395" s="6"/>
      <c r="J395" s="7"/>
    </row>
    <row r="396" spans="1:10" ht="15" customHeight="1" x14ac:dyDescent="0.25">
      <c r="A396" s="13" t="s">
        <v>120</v>
      </c>
      <c r="G396" s="5"/>
      <c r="H396" s="6"/>
      <c r="I396" s="6" t="str">
        <f>CONCATENATE("&lt;titre&gt;",TRIM(A396),"&lt;/titre&gt;")</f>
        <v>&lt;titre&gt;Lecteur CD - Radio&lt;/titre&gt;</v>
      </c>
      <c r="J396" s="7"/>
    </row>
    <row r="397" spans="1:10" ht="15" customHeight="1" x14ac:dyDescent="0.25">
      <c r="A397" s="12" t="s">
        <v>201</v>
      </c>
      <c r="G397" s="5"/>
      <c r="H397" s="6"/>
      <c r="I397" s="6" t="str">
        <f>CONCATENATE("&lt;desc&gt;",TRIM(A397),"&lt;/desc&gt;")</f>
        <v>&lt;desc&gt;- Lecteur CD
- Radio AM/FM/FM stéréo
- Fonctionne aussi avec des piles
&lt;/desc&gt;</v>
      </c>
      <c r="J397" s="7"/>
    </row>
    <row r="398" spans="1:10" ht="15" customHeight="1" x14ac:dyDescent="0.25">
      <c r="A398" s="17">
        <v>15</v>
      </c>
      <c r="G398" s="5"/>
      <c r="H398" s="6"/>
      <c r="I398" s="6" t="str">
        <f>CONCATENATE("&lt;prix&gt;",TRIM(A398),"&lt;/prix&gt;")</f>
        <v>&lt;prix&gt;15&lt;/prix&gt;</v>
      </c>
      <c r="J398" s="7"/>
    </row>
    <row r="399" spans="1:10" ht="15" customHeight="1" x14ac:dyDescent="0.25">
      <c r="A399" s="1">
        <v>0</v>
      </c>
      <c r="G399" s="5"/>
      <c r="H399" s="6"/>
      <c r="I399" s="6" t="str">
        <f>CONCATENATE("&lt;vendu&gt;",TRIM(A399),"&lt;/vendu&gt;")</f>
        <v>&lt;vendu&gt;0&lt;/vendu&gt;</v>
      </c>
      <c r="J399" s="7"/>
    </row>
    <row r="400" spans="1:10" ht="15" customHeight="1" x14ac:dyDescent="0.25">
      <c r="A400" s="15"/>
      <c r="G400" s="5"/>
      <c r="H400" s="6"/>
      <c r="I400" s="6" t="s">
        <v>6</v>
      </c>
      <c r="J400" s="7"/>
    </row>
    <row r="401" spans="1:10" ht="15" customHeight="1" x14ac:dyDescent="0.25">
      <c r="A401" s="1" t="s">
        <v>177</v>
      </c>
      <c r="G401" s="5"/>
      <c r="H401" s="6"/>
      <c r="I401" s="6"/>
      <c r="J401" s="7" t="str">
        <f>CONCATENATE("&lt;image&gt;",TRIM(A401),"&lt;/image&gt;")</f>
        <v>&lt;image&gt;P1080792.jpg&lt;/image&gt;</v>
      </c>
    </row>
    <row r="402" spans="1:10" ht="15" customHeight="1" x14ac:dyDescent="0.25">
      <c r="A402" s="1" t="s">
        <v>178</v>
      </c>
      <c r="G402" s="5"/>
      <c r="H402" s="6"/>
      <c r="I402" s="6"/>
      <c r="J402" s="7" t="str">
        <f t="shared" ref="J402:J403" si="35">CONCATENATE("&lt;image&gt;",TRIM(A402),"&lt;/image&gt;")</f>
        <v>&lt;image&gt;P1080793.jpg&lt;/image&gt;</v>
      </c>
    </row>
    <row r="403" spans="1:10" ht="15" customHeight="1" x14ac:dyDescent="0.25">
      <c r="A403" s="1" t="s">
        <v>179</v>
      </c>
      <c r="G403" s="5"/>
      <c r="H403" s="6"/>
      <c r="I403" s="6"/>
      <c r="J403" s="7" t="str">
        <f t="shared" si="35"/>
        <v>&lt;image&gt;P1080794.jpg&lt;/image&gt;</v>
      </c>
    </row>
    <row r="404" spans="1:10" ht="15" customHeight="1" x14ac:dyDescent="0.25">
      <c r="A404" s="15"/>
      <c r="G404" s="5"/>
      <c r="H404" s="6"/>
      <c r="I404" s="6" t="s">
        <v>7</v>
      </c>
      <c r="J404" s="7"/>
    </row>
    <row r="405" spans="1:10" ht="15" customHeight="1" x14ac:dyDescent="0.25">
      <c r="A405" s="15"/>
      <c r="G405" s="5"/>
      <c r="H405" s="6" t="s">
        <v>4</v>
      </c>
      <c r="I405" s="6"/>
      <c r="J405" s="7"/>
    </row>
    <row r="406" spans="1:10" ht="15" customHeight="1" x14ac:dyDescent="0.25">
      <c r="A406" s="16">
        <f>A395+1</f>
        <v>34</v>
      </c>
      <c r="G406" s="5"/>
      <c r="H406" s="6" t="str">
        <f>CONCATENATE("&lt;article id=""",A406,"""&gt;")</f>
        <v>&lt;article id="34"&gt;</v>
      </c>
      <c r="I406" s="6"/>
      <c r="J406" s="7"/>
    </row>
    <row r="407" spans="1:10" ht="15" customHeight="1" x14ac:dyDescent="0.25">
      <c r="A407" s="13" t="s">
        <v>121</v>
      </c>
      <c r="G407" s="5"/>
      <c r="H407" s="6"/>
      <c r="I407" s="6" t="str">
        <f>CONCATENATE("&lt;titre&gt;",TRIM(A407),"&lt;/titre&gt;")</f>
        <v>&lt;titre&gt;Lecteur DVD LG&lt;/titre&gt;</v>
      </c>
      <c r="J407" s="7"/>
    </row>
    <row r="408" spans="1:10" ht="15" customHeight="1" x14ac:dyDescent="0.25">
      <c r="A408" s="12" t="s">
        <v>148</v>
      </c>
      <c r="G408" s="5"/>
      <c r="H408" s="6"/>
      <c r="I408" s="6" t="str">
        <f>CONCATENATE("&lt;desc&gt;",TRIM(A408),"&lt;/desc&gt;")</f>
        <v>&lt;desc&gt;- Prise USB
- Télécommande
- Très bon état, peu servi
- Fourni dans sa boite d&amp;apos;origine avec livret d&amp;apos;instructions&lt;/desc&gt;</v>
      </c>
      <c r="J408" s="7"/>
    </row>
    <row r="409" spans="1:10" ht="15" customHeight="1" x14ac:dyDescent="0.25">
      <c r="A409" s="17">
        <v>25</v>
      </c>
      <c r="G409" s="5"/>
      <c r="H409" s="6"/>
      <c r="I409" s="6" t="str">
        <f>CONCATENATE("&lt;prix&gt;",TRIM(A409),"&lt;/prix&gt;")</f>
        <v>&lt;prix&gt;25&lt;/prix&gt;</v>
      </c>
      <c r="J409" s="7"/>
    </row>
    <row r="410" spans="1:10" ht="15" customHeight="1" x14ac:dyDescent="0.25">
      <c r="A410" s="1">
        <v>0</v>
      </c>
      <c r="G410" s="5"/>
      <c r="H410" s="6"/>
      <c r="I410" s="6" t="str">
        <f>CONCATENATE("&lt;vendu&gt;",TRIM(A410),"&lt;/vendu&gt;")</f>
        <v>&lt;vendu&gt;0&lt;/vendu&gt;</v>
      </c>
      <c r="J410" s="7"/>
    </row>
    <row r="411" spans="1:10" ht="15" customHeight="1" x14ac:dyDescent="0.25">
      <c r="A411" s="15"/>
      <c r="G411" s="5"/>
      <c r="H411" s="6"/>
      <c r="I411" s="6" t="s">
        <v>6</v>
      </c>
      <c r="J411" s="7"/>
    </row>
    <row r="412" spans="1:10" ht="15" customHeight="1" x14ac:dyDescent="0.25">
      <c r="A412" s="1" t="s">
        <v>174</v>
      </c>
      <c r="G412" s="5"/>
      <c r="H412" s="6"/>
      <c r="I412" s="6"/>
      <c r="J412" s="7" t="str">
        <f>CONCATENATE("&lt;image&gt;",TRIM(A412),"&lt;/image&gt;")</f>
        <v>&lt;image&gt;P1080789.jpg&lt;/image&gt;</v>
      </c>
    </row>
    <row r="413" spans="1:10" ht="15" customHeight="1" x14ac:dyDescent="0.25">
      <c r="A413" s="1" t="s">
        <v>175</v>
      </c>
      <c r="G413" s="5"/>
      <c r="H413" s="6"/>
      <c r="I413" s="6"/>
      <c r="J413" s="7" t="str">
        <f t="shared" ref="J413:J414" si="36">CONCATENATE("&lt;image&gt;",TRIM(A413),"&lt;/image&gt;")</f>
        <v>&lt;image&gt;P1080790.jpg&lt;/image&gt;</v>
      </c>
    </row>
    <row r="414" spans="1:10" ht="15" customHeight="1" x14ac:dyDescent="0.25">
      <c r="A414" s="1" t="s">
        <v>176</v>
      </c>
      <c r="G414" s="5"/>
      <c r="H414" s="6"/>
      <c r="I414" s="6"/>
      <c r="J414" s="7" t="str">
        <f t="shared" si="36"/>
        <v>&lt;image&gt;P1080791.jpg&lt;/image&gt;</v>
      </c>
    </row>
    <row r="415" spans="1:10" ht="15" customHeight="1" x14ac:dyDescent="0.25">
      <c r="A415" s="15"/>
      <c r="G415" s="5"/>
      <c r="H415" s="6"/>
      <c r="I415" s="6" t="s">
        <v>7</v>
      </c>
      <c r="J415" s="7"/>
    </row>
    <row r="416" spans="1:10" ht="15" customHeight="1" x14ac:dyDescent="0.25">
      <c r="A416" s="15"/>
      <c r="G416" s="5"/>
      <c r="H416" s="6" t="s">
        <v>4</v>
      </c>
      <c r="I416" s="6"/>
      <c r="J416" s="7"/>
    </row>
    <row r="417" spans="1:10" ht="15" customHeight="1" x14ac:dyDescent="0.25">
      <c r="A417" s="16">
        <f>A406+1</f>
        <v>35</v>
      </c>
      <c r="G417" s="5"/>
      <c r="H417" s="6" t="str">
        <f>CONCATENATE("&lt;article id=""",A417,"""&gt;")</f>
        <v>&lt;article id="35"&gt;</v>
      </c>
      <c r="I417" s="6"/>
      <c r="J417" s="7"/>
    </row>
    <row r="418" spans="1:10" ht="15" customHeight="1" x14ac:dyDescent="0.25">
      <c r="A418" s="13" t="s">
        <v>122</v>
      </c>
      <c r="G418" s="5"/>
      <c r="H418" s="6"/>
      <c r="I418" s="6" t="str">
        <f>CONCATENATE("&lt;titre&gt;",TRIM(A418),"&lt;/titre&gt;")</f>
        <v>&lt;titre&gt;Imprimante e-tout-en-un HP 3510&lt;/titre&gt;</v>
      </c>
      <c r="J418" s="7"/>
    </row>
    <row r="419" spans="1:10" ht="15" customHeight="1" x14ac:dyDescent="0.25">
      <c r="A419" s="12" t="s">
        <v>210</v>
      </c>
      <c r="G419" s="5"/>
      <c r="H419" s="6"/>
      <c r="I419" s="6" t="str">
        <f>CONCATENATE("&lt;desc&gt;",TRIM(A419),"&lt;/desc&gt;")</f>
        <v>&lt;desc&gt;- Sans fil
- Numérisation
- Copie
- Impression depuis téléphone intelligent et tablette
- Fourni dans sa boite d&amp;apos;origine avec livret d&amp;apos;instructions et CD d&amp;apos;installation
- Cartouches #61 (La couleur presque vide ; la noir est à moitié pleine)&lt;/desc&gt;</v>
      </c>
      <c r="J419" s="7"/>
    </row>
    <row r="420" spans="1:10" ht="15" customHeight="1" x14ac:dyDescent="0.25">
      <c r="A420" s="17">
        <v>25</v>
      </c>
      <c r="G420" s="5"/>
      <c r="H420" s="6"/>
      <c r="I420" s="6" t="str">
        <f>CONCATENATE("&lt;prix&gt;",TRIM(A420),"&lt;/prix&gt;")</f>
        <v>&lt;prix&gt;25&lt;/prix&gt;</v>
      </c>
      <c r="J420" s="7"/>
    </row>
    <row r="421" spans="1:10" ht="15" customHeight="1" x14ac:dyDescent="0.25">
      <c r="A421" s="1">
        <v>1</v>
      </c>
      <c r="G421" s="5"/>
      <c r="H421" s="6"/>
      <c r="I421" s="6" t="str">
        <f>CONCATENATE("&lt;vendu&gt;",TRIM(A421),"&lt;/vendu&gt;")</f>
        <v>&lt;vendu&gt;1&lt;/vendu&gt;</v>
      </c>
      <c r="J421" s="7"/>
    </row>
    <row r="422" spans="1:10" ht="15" customHeight="1" x14ac:dyDescent="0.25">
      <c r="A422" s="15"/>
      <c r="G422" s="5"/>
      <c r="H422" s="6"/>
      <c r="I422" s="6" t="s">
        <v>6</v>
      </c>
      <c r="J422" s="7"/>
    </row>
    <row r="423" spans="1:10" ht="15" customHeight="1" x14ac:dyDescent="0.25">
      <c r="A423" s="1" t="s">
        <v>171</v>
      </c>
      <c r="G423" s="5"/>
      <c r="H423" s="6"/>
      <c r="I423" s="6"/>
      <c r="J423" s="7" t="str">
        <f>CONCATENATE("&lt;image&gt;",TRIM(A423),"&lt;/image&gt;")</f>
        <v>&lt;image&gt;P1080797.jpg&lt;/image&gt;</v>
      </c>
    </row>
    <row r="424" spans="1:10" ht="15" customHeight="1" x14ac:dyDescent="0.25">
      <c r="A424" s="1" t="s">
        <v>172</v>
      </c>
      <c r="G424" s="5"/>
      <c r="H424" s="6"/>
      <c r="I424" s="6"/>
      <c r="J424" s="7" t="str">
        <f t="shared" ref="J424:J425" si="37">CONCATENATE("&lt;image&gt;",TRIM(A424),"&lt;/image&gt;")</f>
        <v>&lt;image&gt;P1080799.jpg&lt;/image&gt;</v>
      </c>
    </row>
    <row r="425" spans="1:10" ht="15" customHeight="1" x14ac:dyDescent="0.25">
      <c r="A425" s="1" t="s">
        <v>173</v>
      </c>
      <c r="G425" s="5"/>
      <c r="H425" s="6"/>
      <c r="I425" s="6"/>
      <c r="J425" s="7" t="str">
        <f t="shared" si="37"/>
        <v>&lt;image&gt;P1080800.jpg&lt;/image&gt;</v>
      </c>
    </row>
    <row r="426" spans="1:10" ht="15" customHeight="1" x14ac:dyDescent="0.25">
      <c r="A426" s="15"/>
      <c r="G426" s="5"/>
      <c r="H426" s="6"/>
      <c r="I426" s="6" t="s">
        <v>7</v>
      </c>
      <c r="J426" s="7"/>
    </row>
    <row r="427" spans="1:10" ht="15" customHeight="1" x14ac:dyDescent="0.25">
      <c r="A427" s="15"/>
      <c r="G427" s="5"/>
      <c r="H427" s="6" t="s">
        <v>4</v>
      </c>
      <c r="I427" s="6"/>
      <c r="J427" s="7"/>
    </row>
    <row r="428" spans="1:10" ht="15" customHeight="1" x14ac:dyDescent="0.25">
      <c r="A428" s="16">
        <f>A417+1</f>
        <v>36</v>
      </c>
      <c r="G428" s="5"/>
      <c r="H428" s="6" t="str">
        <f>CONCATENATE("&lt;article id=""",A428,"""&gt;")</f>
        <v>&lt;article id="36"&gt;</v>
      </c>
      <c r="I428" s="6"/>
      <c r="J428" s="7"/>
    </row>
    <row r="429" spans="1:10" ht="15" customHeight="1" x14ac:dyDescent="0.25">
      <c r="A429" s="13" t="s">
        <v>202</v>
      </c>
      <c r="G429" s="5"/>
      <c r="H429" s="6"/>
      <c r="I429" s="6" t="str">
        <f>CONCATENATE("&lt;titre&gt;",TRIM(A429),"&lt;/titre&gt;")</f>
        <v>&lt;titre&gt;Meuble à chaussures&lt;/titre&gt;</v>
      </c>
      <c r="J429" s="7"/>
    </row>
    <row r="430" spans="1:10" ht="15" customHeight="1" x14ac:dyDescent="0.25">
      <c r="A430" s="12" t="s">
        <v>214</v>
      </c>
      <c r="G430" s="5"/>
      <c r="H430" s="6"/>
      <c r="I430" s="6" t="str">
        <f>CONCATENATE("&lt;desc&gt;",TRIM(A430),"&lt;/desc&gt;")</f>
        <v>&lt;desc&gt;- 2 grands tirroirs
- 3 espaces de rangement pour chaussures
- Dimensions (largeur x profondeur x hauteur) : 34&amp;apos;&amp;apos; x 16.5&amp;apos;&amp;apos; x 46&amp;apos;&amp;apos;&lt;/desc&gt;</v>
      </c>
      <c r="J430" s="7"/>
    </row>
    <row r="431" spans="1:10" ht="15" customHeight="1" x14ac:dyDescent="0.25">
      <c r="A431" s="17">
        <v>30</v>
      </c>
      <c r="G431" s="5"/>
      <c r="H431" s="6"/>
      <c r="I431" s="6" t="str">
        <f>CONCATENATE("&lt;prix&gt;",TRIM(A431),"&lt;/prix&gt;")</f>
        <v>&lt;prix&gt;30&lt;/prix&gt;</v>
      </c>
      <c r="J431" s="7"/>
    </row>
    <row r="432" spans="1:10" ht="15" customHeight="1" x14ac:dyDescent="0.25">
      <c r="A432" s="1">
        <v>1</v>
      </c>
      <c r="G432" s="5"/>
      <c r="H432" s="6"/>
      <c r="I432" s="6" t="str">
        <f>CONCATENATE("&lt;vendu&gt;",TRIM(A432),"&lt;/vendu&gt;")</f>
        <v>&lt;vendu&gt;1&lt;/vendu&gt;</v>
      </c>
      <c r="J432" s="7"/>
    </row>
    <row r="433" spans="1:10" ht="15" customHeight="1" x14ac:dyDescent="0.25">
      <c r="A433" s="15"/>
      <c r="G433" s="5"/>
      <c r="H433" s="6"/>
      <c r="I433" s="6" t="s">
        <v>6</v>
      </c>
      <c r="J433" s="7"/>
    </row>
    <row r="434" spans="1:10" ht="15" customHeight="1" x14ac:dyDescent="0.25">
      <c r="A434" s="1" t="s">
        <v>204</v>
      </c>
      <c r="G434" s="5"/>
      <c r="H434" s="6"/>
      <c r="I434" s="6"/>
      <c r="J434" s="7" t="str">
        <f>CONCATENATE("&lt;image&gt;",TRIM(A434),"&lt;/image&gt;")</f>
        <v>&lt;image&gt;P1080814.jpg&lt;/image&gt;</v>
      </c>
    </row>
    <row r="435" spans="1:10" ht="15" customHeight="1" x14ac:dyDescent="0.25">
      <c r="A435" s="1" t="s">
        <v>203</v>
      </c>
      <c r="G435" s="5"/>
      <c r="H435" s="6"/>
      <c r="I435" s="6"/>
      <c r="J435" s="7" t="str">
        <f>CONCATENATE("&lt;image&gt;",TRIM(A435),"&lt;/image&gt;")</f>
        <v>&lt;image&gt;P1080813.jpg&lt;/image&gt;</v>
      </c>
    </row>
    <row r="436" spans="1:10" ht="15" customHeight="1" x14ac:dyDescent="0.25">
      <c r="A436" s="1" t="s">
        <v>205</v>
      </c>
      <c r="G436" s="5"/>
      <c r="H436" s="6"/>
      <c r="I436" s="6"/>
      <c r="J436" s="7" t="str">
        <f t="shared" ref="J436" si="38">CONCATENATE("&lt;image&gt;",TRIM(A436),"&lt;/image&gt;")</f>
        <v>&lt;image&gt;P1080815.jpg&lt;/image&gt;</v>
      </c>
    </row>
    <row r="437" spans="1:10" ht="15" customHeight="1" x14ac:dyDescent="0.25">
      <c r="A437" s="15"/>
      <c r="G437" s="5"/>
      <c r="H437" s="6"/>
      <c r="I437" s="6" t="s">
        <v>7</v>
      </c>
      <c r="J437" s="7"/>
    </row>
    <row r="438" spans="1:10" ht="15" customHeight="1" x14ac:dyDescent="0.25">
      <c r="A438" s="15"/>
      <c r="G438" s="5"/>
      <c r="H438" s="6" t="s">
        <v>4</v>
      </c>
      <c r="I438" s="6"/>
      <c r="J438" s="7"/>
    </row>
    <row r="439" spans="1:10" ht="15" customHeight="1" x14ac:dyDescent="0.25">
      <c r="A439" s="16">
        <f>A428+1</f>
        <v>37</v>
      </c>
      <c r="G439" s="5"/>
      <c r="H439" s="6" t="str">
        <f>CONCATENATE("&lt;article id=""",A439,"""&gt;")</f>
        <v>&lt;article id="37"&gt;</v>
      </c>
      <c r="I439" s="6"/>
      <c r="J439" s="7"/>
    </row>
    <row r="440" spans="1:10" ht="15" customHeight="1" x14ac:dyDescent="0.25">
      <c r="A440" s="13" t="s">
        <v>283</v>
      </c>
      <c r="G440" s="5"/>
      <c r="H440" s="6"/>
      <c r="I440" s="6" t="str">
        <f>CONCATENATE("&lt;titre&gt;",TRIM(A440),"&lt;/titre&gt;")</f>
        <v>&lt;titre&gt;Radiateur électrique&lt;/titre&gt;</v>
      </c>
      <c r="J440" s="7"/>
    </row>
    <row r="441" spans="1:10" ht="15" customHeight="1" x14ac:dyDescent="0.25">
      <c r="A441" s="12" t="s">
        <v>284</v>
      </c>
      <c r="G441" s="5"/>
      <c r="H441" s="6"/>
      <c r="I441" s="6" t="str">
        <f>CONCATENATE("&lt;desc&gt;",TRIM(A441),"&lt;/desc&gt;")</f>
        <v>&lt;desc&gt;- Puissance : 1500W
- Thermostat
- 2 positions de chauffage
- Fonction ventilateur uniquement
- Interrupteur de sécurité&lt;/desc&gt;</v>
      </c>
      <c r="J441" s="7"/>
    </row>
    <row r="442" spans="1:10" ht="15" customHeight="1" x14ac:dyDescent="0.25">
      <c r="A442" s="17">
        <v>10</v>
      </c>
      <c r="G442" s="5"/>
      <c r="H442" s="6"/>
      <c r="I442" s="6" t="str">
        <f>CONCATENATE("&lt;prix&gt;",TRIM(A442),"&lt;/prix&gt;")</f>
        <v>&lt;prix&gt;10&lt;/prix&gt;</v>
      </c>
      <c r="J442" s="7"/>
    </row>
    <row r="443" spans="1:10" ht="15" customHeight="1" x14ac:dyDescent="0.25">
      <c r="A443" s="1">
        <v>0</v>
      </c>
      <c r="G443" s="5"/>
      <c r="H443" s="6"/>
      <c r="I443" s="6" t="str">
        <f>CONCATENATE("&lt;vendu&gt;",TRIM(A443),"&lt;/vendu&gt;")</f>
        <v>&lt;vendu&gt;0&lt;/vendu&gt;</v>
      </c>
      <c r="J443" s="7"/>
    </row>
    <row r="444" spans="1:10" ht="15" customHeight="1" x14ac:dyDescent="0.25">
      <c r="A444" s="15"/>
      <c r="G444" s="5"/>
      <c r="H444" s="6"/>
      <c r="I444" s="6" t="s">
        <v>6</v>
      </c>
      <c r="J444" s="7"/>
    </row>
    <row r="445" spans="1:10" ht="15" customHeight="1" x14ac:dyDescent="0.25">
      <c r="A445" s="1" t="s">
        <v>285</v>
      </c>
      <c r="G445" s="5"/>
      <c r="H445" s="6"/>
      <c r="I445" s="6"/>
      <c r="J445" s="7" t="str">
        <f>CONCATENATE("&lt;image&gt;",TRIM(A445),"&lt;/image&gt;")</f>
        <v>&lt;image&gt;P1080852.jpg&lt;/image&gt;</v>
      </c>
    </row>
    <row r="446" spans="1:10" ht="15" customHeight="1" x14ac:dyDescent="0.25">
      <c r="A446" s="1" t="s">
        <v>286</v>
      </c>
      <c r="G446" s="5"/>
      <c r="H446" s="6"/>
      <c r="I446" s="6"/>
      <c r="J446" s="7" t="str">
        <f>CONCATENATE("&lt;image&gt;",TRIM(A446),"&lt;/image&gt;")</f>
        <v>&lt;image&gt;P1080853.jpg&lt;/image&gt;</v>
      </c>
    </row>
    <row r="447" spans="1:10" ht="15" customHeight="1" x14ac:dyDescent="0.25">
      <c r="A447" s="15"/>
      <c r="G447" s="5"/>
      <c r="H447" s="6"/>
      <c r="I447" s="6" t="s">
        <v>7</v>
      </c>
      <c r="J447" s="7"/>
    </row>
    <row r="448" spans="1:10" ht="15" customHeight="1" x14ac:dyDescent="0.25">
      <c r="A448" s="15"/>
      <c r="G448" s="5"/>
      <c r="H448" s="6" t="s">
        <v>4</v>
      </c>
      <c r="I448" s="6"/>
      <c r="J448" s="7"/>
    </row>
    <row r="449" spans="1:10" ht="15" customHeight="1" x14ac:dyDescent="0.25">
      <c r="A449" s="16">
        <f>A439+1</f>
        <v>38</v>
      </c>
      <c r="G449" s="5"/>
      <c r="H449" s="6" t="str">
        <f>CONCATENATE("&lt;article id=""",A449,"""&gt;")</f>
        <v>&lt;article id="38"&gt;</v>
      </c>
      <c r="I449" s="6"/>
      <c r="J449" s="7"/>
    </row>
    <row r="450" spans="1:10" ht="15" customHeight="1" x14ac:dyDescent="0.25">
      <c r="A450" s="13" t="s">
        <v>218</v>
      </c>
      <c r="G450" s="5"/>
      <c r="H450" s="6"/>
      <c r="I450" s="6" t="str">
        <f>CONCATENATE("&lt;titre&gt;",TRIM(A450),"&lt;/titre&gt;")</f>
        <v>&lt;titre&gt;Vêtements bébé 0-3 mois&lt;/titre&gt;</v>
      </c>
      <c r="J450" s="7"/>
    </row>
    <row r="451" spans="1:10" ht="15" customHeight="1" x14ac:dyDescent="0.25">
      <c r="A451" s="12" t="s">
        <v>299</v>
      </c>
      <c r="G451" s="5"/>
      <c r="H451" s="6"/>
      <c r="I451" s="6" t="str">
        <f>CONCATENATE("&lt;desc&gt;",TRIM(A451),"&lt;/desc&gt;")</f>
        <v>&lt;desc&gt;Lot de 26 morceaux
- 1 paire de chaudes maitaines bleues 
- 1 bonnet + 2 paires de mitaines
- 1 bonnet ourson noir
- 1 Couverture-sac à emmailloter (neuve, jamais servi)
- 1 Ensemble 3 pièces : tee-shirt manche longues + pull manches courtes en laine + pantalon
- 1 Ensemble pyjama 2 pièces
- 1 Ensemble 5 pièces : bonnet + body + pantalon + mitaines + chaussons (Winnie l&amp;apos;ourson)
- 1 Ensemble Body + bonnet + chaussons
- 1 Ensemble haut + pantalon (orange)
- 1 Ensemble haut + pantalon (orange et bleu)
- 1 Habit d&amp;apos;extérieur en polaire (vert)
- 1 Habit d&amp;apos;extérieur en polaire (blanc)
- 1 matelas à langer avec housse et ceinture (1 matelas à langer de voyage)
(Lot non séparable)
(Maison sans animaux et sans fumée)&lt;/desc&gt;</v>
      </c>
      <c r="J451" s="7"/>
    </row>
    <row r="452" spans="1:10" ht="15" customHeight="1" x14ac:dyDescent="0.25">
      <c r="A452" s="17">
        <v>15</v>
      </c>
      <c r="G452" s="5"/>
      <c r="H452" s="6"/>
      <c r="I452" s="6" t="str">
        <f>CONCATENATE("&lt;prix&gt;",TRIM(A452),"&lt;/prix&gt;")</f>
        <v>&lt;prix&gt;15&lt;/prix&gt;</v>
      </c>
      <c r="J452" s="7"/>
    </row>
    <row r="453" spans="1:10" ht="15" customHeight="1" x14ac:dyDescent="0.25">
      <c r="A453" s="1">
        <v>0</v>
      </c>
      <c r="G453" s="5"/>
      <c r="H453" s="6"/>
      <c r="I453" s="6" t="str">
        <f>CONCATENATE("&lt;vendu&gt;",TRIM(A453),"&lt;/vendu&gt;")</f>
        <v>&lt;vendu&gt;0&lt;/vendu&gt;</v>
      </c>
      <c r="J453" s="7"/>
    </row>
    <row r="454" spans="1:10" ht="15" customHeight="1" x14ac:dyDescent="0.25">
      <c r="A454" s="15"/>
      <c r="G454" s="5"/>
      <c r="H454" s="6"/>
      <c r="I454" s="6" t="s">
        <v>6</v>
      </c>
      <c r="J454" s="7"/>
    </row>
    <row r="455" spans="1:10" ht="15" customHeight="1" x14ac:dyDescent="0.25">
      <c r="A455" s="1" t="s">
        <v>287</v>
      </c>
      <c r="G455" s="5"/>
      <c r="H455" s="6"/>
      <c r="I455" s="6"/>
      <c r="J455" s="7" t="str">
        <f t="shared" ref="J455:J463" si="39">CONCATENATE("&lt;image&gt;",TRIM(A455),"&lt;/image&gt;")</f>
        <v>&lt;image&gt;O01080367b.jpg&lt;/image&gt;</v>
      </c>
    </row>
    <row r="456" spans="1:10" ht="15" customHeight="1" x14ac:dyDescent="0.25">
      <c r="A456" s="1" t="s">
        <v>288</v>
      </c>
      <c r="G456" s="5"/>
      <c r="H456" s="6"/>
      <c r="I456" s="6"/>
      <c r="J456" s="7" t="str">
        <f t="shared" si="39"/>
        <v>&lt;image&gt;O1080338.JPG&lt;/image&gt;</v>
      </c>
    </row>
    <row r="457" spans="1:10" ht="15" customHeight="1" x14ac:dyDescent="0.25">
      <c r="A457" s="1" t="s">
        <v>289</v>
      </c>
      <c r="G457" s="5"/>
      <c r="H457" s="6"/>
      <c r="I457" s="6"/>
      <c r="J457" s="7" t="str">
        <f t="shared" si="39"/>
        <v>&lt;image&gt;P102mois.JPG&lt;/image&gt;</v>
      </c>
    </row>
    <row r="458" spans="1:10" ht="15" customHeight="1" x14ac:dyDescent="0.25">
      <c r="A458" s="1" t="s">
        <v>219</v>
      </c>
      <c r="G458" s="5"/>
      <c r="H458" s="6"/>
      <c r="I458" s="6"/>
      <c r="J458" s="7" t="str">
        <f t="shared" si="39"/>
        <v>&lt;image&gt;P1080161b.jpg&lt;/image&gt;</v>
      </c>
    </row>
    <row r="459" spans="1:10" ht="15" customHeight="1" x14ac:dyDescent="0.25">
      <c r="A459" s="1" t="s">
        <v>220</v>
      </c>
      <c r="G459" s="5"/>
      <c r="H459" s="6"/>
      <c r="I459" s="6"/>
      <c r="J459" s="7" t="str">
        <f t="shared" si="39"/>
        <v>&lt;image&gt;P1080318b.jpg&lt;/image&gt;</v>
      </c>
    </row>
    <row r="460" spans="1:10" ht="15" customHeight="1" x14ac:dyDescent="0.25">
      <c r="A460" s="1" t="s">
        <v>221</v>
      </c>
      <c r="G460" s="5"/>
      <c r="H460" s="6"/>
      <c r="I460" s="6"/>
      <c r="J460" s="7" t="str">
        <f t="shared" si="39"/>
        <v>&lt;image&gt;P1080326b.jpg&lt;/image&gt;</v>
      </c>
    </row>
    <row r="461" spans="1:10" ht="15" customHeight="1" x14ac:dyDescent="0.25">
      <c r="A461" s="1" t="s">
        <v>222</v>
      </c>
      <c r="G461" s="5"/>
      <c r="H461" s="6"/>
      <c r="I461" s="6"/>
      <c r="J461" s="7" t="str">
        <f t="shared" si="39"/>
        <v>&lt;image&gt;P1080344b.jpg&lt;/image&gt;</v>
      </c>
    </row>
    <row r="462" spans="1:10" ht="15" customHeight="1" x14ac:dyDescent="0.25">
      <c r="A462" s="1" t="s">
        <v>223</v>
      </c>
      <c r="G462" s="5"/>
      <c r="H462" s="6"/>
      <c r="I462" s="6"/>
      <c r="J462" s="7" t="str">
        <f t="shared" si="39"/>
        <v>&lt;image&gt;P1080345.JPG&lt;/image&gt;</v>
      </c>
    </row>
    <row r="463" spans="1:10" ht="15" customHeight="1" x14ac:dyDescent="0.25">
      <c r="A463" s="1" t="s">
        <v>224</v>
      </c>
      <c r="G463" s="5"/>
      <c r="H463" s="6"/>
      <c r="I463" s="6"/>
      <c r="J463" s="7" t="str">
        <f t="shared" si="39"/>
        <v>&lt;image&gt;P1080351.JPG&lt;/image&gt;</v>
      </c>
    </row>
    <row r="464" spans="1:10" ht="15" customHeight="1" x14ac:dyDescent="0.25">
      <c r="A464" s="1" t="s">
        <v>225</v>
      </c>
      <c r="G464" s="5"/>
      <c r="H464" s="6"/>
      <c r="I464" s="6"/>
      <c r="J464" s="7" t="str">
        <f t="shared" ref="J464" si="40">CONCATENATE("&lt;image&gt;",TRIM(A464),"&lt;/image&gt;")</f>
        <v>&lt;image&gt;Pooh_1.JPG&lt;/image&gt;</v>
      </c>
    </row>
    <row r="465" spans="1:10" ht="15" customHeight="1" x14ac:dyDescent="0.25">
      <c r="A465" s="15"/>
      <c r="G465" s="5"/>
      <c r="H465" s="6"/>
      <c r="I465" s="6" t="s">
        <v>7</v>
      </c>
      <c r="J465" s="7"/>
    </row>
    <row r="466" spans="1:10" ht="15" customHeight="1" x14ac:dyDescent="0.25">
      <c r="A466" s="15"/>
      <c r="G466" s="5"/>
      <c r="H466" s="6" t="s">
        <v>4</v>
      </c>
      <c r="I466" s="6"/>
      <c r="J466" s="7"/>
    </row>
    <row r="467" spans="1:10" ht="15" customHeight="1" x14ac:dyDescent="0.25">
      <c r="A467" s="16">
        <f>A449+1</f>
        <v>39</v>
      </c>
      <c r="G467" s="5"/>
      <c r="H467" s="6" t="str">
        <f>CONCATENATE("&lt;article id=""",A467,"""&gt;")</f>
        <v>&lt;article id="39"&gt;</v>
      </c>
      <c r="I467" s="6"/>
      <c r="J467" s="7"/>
    </row>
    <row r="468" spans="1:10" ht="15" customHeight="1" x14ac:dyDescent="0.25">
      <c r="A468" s="13" t="s">
        <v>226</v>
      </c>
      <c r="G468" s="5"/>
      <c r="H468" s="6"/>
      <c r="I468" s="6" t="str">
        <f>CONCATENATE("&lt;titre&gt;",TRIM(A468),"&lt;/titre&gt;")</f>
        <v>&lt;titre&gt;Vêtements bébé 6 mois&lt;/titre&gt;</v>
      </c>
      <c r="J468" s="7"/>
    </row>
    <row r="469" spans="1:10" ht="15" customHeight="1" x14ac:dyDescent="0.25">
      <c r="A469" s="12" t="s">
        <v>300</v>
      </c>
      <c r="G469" s="5"/>
      <c r="H469" s="6"/>
      <c r="I469" s="6" t="str">
        <f>CONCATENATE("&lt;desc&gt;",TRIM(A469),"&lt;/desc&gt;")</f>
        <v>&lt;desc&gt;Vêtements bébé 6 mois - 20$
Lot de 20 morceaux
- 1 Ensemble body, haut et bas Dumbo
- 1 Ensemble haut + bas (ourson)
- 5 pyjamas
- 1 Ensemble haut + bas (chien)
- 1 Pantalon
- 1 Chandail père Noël
- 1 Body bleu
- 2 salopettes noires
- 1 Ensemble bonnet et cache cou
- 1 Grande dormeuse, utilisable jusqu&amp;apos;à 12 mois
(Lot non séparable)
(Maison sans animaux et sans fumée)&lt;/desc&gt;</v>
      </c>
      <c r="J469" s="7"/>
    </row>
    <row r="470" spans="1:10" ht="15" customHeight="1" x14ac:dyDescent="0.25">
      <c r="A470" s="17">
        <v>20</v>
      </c>
      <c r="G470" s="5"/>
      <c r="H470" s="6"/>
      <c r="I470" s="6" t="str">
        <f>CONCATENATE("&lt;prix&gt;",TRIM(A470),"&lt;/prix&gt;")</f>
        <v>&lt;prix&gt;20&lt;/prix&gt;</v>
      </c>
      <c r="J470" s="7"/>
    </row>
    <row r="471" spans="1:10" ht="15" customHeight="1" x14ac:dyDescent="0.25">
      <c r="A471" s="1">
        <v>0</v>
      </c>
      <c r="G471" s="5"/>
      <c r="H471" s="6"/>
      <c r="I471" s="6" t="str">
        <f>CONCATENATE("&lt;vendu&gt;",TRIM(A471),"&lt;/vendu&gt;")</f>
        <v>&lt;vendu&gt;0&lt;/vendu&gt;</v>
      </c>
      <c r="J471" s="7"/>
    </row>
    <row r="472" spans="1:10" ht="15" customHeight="1" x14ac:dyDescent="0.25">
      <c r="A472" s="15"/>
      <c r="G472" s="5"/>
      <c r="H472" s="6"/>
      <c r="I472" s="6" t="s">
        <v>6</v>
      </c>
      <c r="J472" s="7"/>
    </row>
    <row r="473" spans="1:10" ht="15" customHeight="1" x14ac:dyDescent="0.25">
      <c r="A473" s="1" t="s">
        <v>227</v>
      </c>
      <c r="G473" s="5"/>
      <c r="H473" s="6"/>
      <c r="I473" s="6"/>
      <c r="J473" s="7" t="str">
        <f t="shared" ref="J473:J482" si="41">CONCATENATE("&lt;image&gt;",TRIM(A473),"&lt;/image&gt;")</f>
        <v>&lt;image&gt;HEnsemble_Dumbo.jpg&lt;/image&gt;</v>
      </c>
    </row>
    <row r="474" spans="1:10" ht="15" customHeight="1" x14ac:dyDescent="0.25">
      <c r="A474" s="1" t="s">
        <v>228</v>
      </c>
      <c r="G474" s="5"/>
      <c r="H474" s="6"/>
      <c r="I474" s="6"/>
      <c r="J474" s="7" t="str">
        <f t="shared" si="41"/>
        <v>&lt;image&gt;O6-12mois.jpg&lt;/image&gt;</v>
      </c>
    </row>
    <row r="475" spans="1:10" ht="15" customHeight="1" x14ac:dyDescent="0.25">
      <c r="A475" s="1" t="s">
        <v>229</v>
      </c>
      <c r="G475" s="5"/>
      <c r="H475" s="6"/>
      <c r="I475" s="6"/>
      <c r="J475" s="7" t="str">
        <f t="shared" si="41"/>
        <v>&lt;image&gt;ODormeuse_6-12mois_1.jpg&lt;/image&gt;</v>
      </c>
    </row>
    <row r="476" spans="1:10" ht="15" customHeight="1" x14ac:dyDescent="0.25">
      <c r="A476" s="1" t="s">
        <v>230</v>
      </c>
      <c r="G476" s="5"/>
      <c r="H476" s="6"/>
      <c r="I476" s="6"/>
      <c r="J476" s="7" t="str">
        <f t="shared" si="41"/>
        <v>&lt;image&gt;P1080355.jpg&lt;/image&gt;</v>
      </c>
    </row>
    <row r="477" spans="1:10" ht="15" customHeight="1" x14ac:dyDescent="0.25">
      <c r="A477" s="1" t="s">
        <v>231</v>
      </c>
      <c r="G477" s="5"/>
      <c r="H477" s="6"/>
      <c r="I477" s="6"/>
      <c r="J477" s="7" t="str">
        <f t="shared" si="41"/>
        <v>&lt;image&gt;P1080358.jpg&lt;/image&gt;</v>
      </c>
    </row>
    <row r="478" spans="1:10" ht="15" customHeight="1" x14ac:dyDescent="0.25">
      <c r="A478" s="1" t="s">
        <v>232</v>
      </c>
      <c r="G478" s="5"/>
      <c r="H478" s="6"/>
      <c r="I478" s="6"/>
      <c r="J478" s="7" t="str">
        <f t="shared" si="41"/>
        <v>&lt;image&gt;P1080364.jpg&lt;/image&gt;</v>
      </c>
    </row>
    <row r="479" spans="1:10" ht="15" customHeight="1" x14ac:dyDescent="0.25">
      <c r="A479" s="1" t="s">
        <v>233</v>
      </c>
      <c r="G479" s="5"/>
      <c r="H479" s="6"/>
      <c r="I479" s="6"/>
      <c r="J479" s="7" t="str">
        <f t="shared" si="41"/>
        <v>&lt;image&gt;P1080387.jpg&lt;/image&gt;</v>
      </c>
    </row>
    <row r="480" spans="1:10" ht="15" customHeight="1" x14ac:dyDescent="0.25">
      <c r="A480" s="1" t="s">
        <v>234</v>
      </c>
      <c r="G480" s="5"/>
      <c r="H480" s="6"/>
      <c r="I480" s="6"/>
      <c r="J480" s="7" t="str">
        <f t="shared" si="41"/>
        <v>&lt;image&gt;P1080390.jpg&lt;/image&gt;</v>
      </c>
    </row>
    <row r="481" spans="1:10" ht="15" customHeight="1" x14ac:dyDescent="0.25">
      <c r="A481" s="1" t="s">
        <v>235</v>
      </c>
      <c r="G481" s="5"/>
      <c r="H481" s="6"/>
      <c r="I481" s="6"/>
      <c r="J481" s="7" t="str">
        <f t="shared" si="41"/>
        <v>&lt;image&gt;Salopette_1.jpg&lt;/image&gt;</v>
      </c>
    </row>
    <row r="482" spans="1:10" ht="15" customHeight="1" x14ac:dyDescent="0.25">
      <c r="A482" s="1" t="s">
        <v>236</v>
      </c>
      <c r="G482" s="5"/>
      <c r="H482" s="6"/>
      <c r="I482" s="6"/>
      <c r="J482" s="7" t="str">
        <f t="shared" si="41"/>
        <v>&lt;image&gt;WBonnet_CacheCou.jpg&lt;/image&gt;</v>
      </c>
    </row>
    <row r="483" spans="1:10" ht="15" customHeight="1" x14ac:dyDescent="0.25">
      <c r="A483" s="15"/>
      <c r="G483" s="5"/>
      <c r="H483" s="6"/>
      <c r="I483" s="6" t="s">
        <v>7</v>
      </c>
      <c r="J483" s="7"/>
    </row>
    <row r="484" spans="1:10" ht="15" customHeight="1" x14ac:dyDescent="0.25">
      <c r="A484" s="15"/>
      <c r="G484" s="5"/>
      <c r="H484" s="6" t="s">
        <v>4</v>
      </c>
      <c r="I484" s="6"/>
      <c r="J484" s="7"/>
    </row>
    <row r="485" spans="1:10" ht="15" customHeight="1" x14ac:dyDescent="0.25">
      <c r="A485" s="16">
        <f>A467+1</f>
        <v>40</v>
      </c>
      <c r="G485" s="5"/>
      <c r="H485" s="6" t="str">
        <f>CONCATENATE("&lt;article id=""",A485,"""&gt;")</f>
        <v>&lt;article id="40"&gt;</v>
      </c>
      <c r="I485" s="6"/>
      <c r="J485" s="7"/>
    </row>
    <row r="486" spans="1:10" ht="15" customHeight="1" x14ac:dyDescent="0.25">
      <c r="A486" s="13" t="s">
        <v>237</v>
      </c>
      <c r="G486" s="5"/>
      <c r="H486" s="6"/>
      <c r="I486" s="6" t="str">
        <f>CONCATENATE("&lt;titre&gt;",TRIM(A486),"&lt;/titre&gt;")</f>
        <v>&lt;titre&gt;Vêtements bébé 9 mois&lt;/titre&gt;</v>
      </c>
      <c r="J486" s="7"/>
    </row>
    <row r="487" spans="1:10" ht="15" customHeight="1" x14ac:dyDescent="0.25">
      <c r="A487" s="12" t="s">
        <v>238</v>
      </c>
      <c r="G487" s="5"/>
      <c r="H487" s="6"/>
      <c r="I487" s="6" t="str">
        <f>CONCATENATE("&lt;desc&gt;",TRIM(A487),"&lt;/desc&gt;")</f>
        <v>&lt;desc&gt;Lot de 11 morceaux
- 4 pyjamas avec fermeture éclair
- 3 pyjamas avec fermeture à boutons-pression
- 1 Salopette 
- 2 pyjamas en polaire
- 1 chandail
(Lot non séparable)
(Maison sans animaux et sans fumée)&lt;/desc&gt;</v>
      </c>
      <c r="J487" s="7"/>
    </row>
    <row r="488" spans="1:10" ht="15" customHeight="1" x14ac:dyDescent="0.25">
      <c r="A488" s="17">
        <v>10</v>
      </c>
      <c r="G488" s="5"/>
      <c r="H488" s="6"/>
      <c r="I488" s="6" t="str">
        <f>CONCATENATE("&lt;prix&gt;",TRIM(A488),"&lt;/prix&gt;")</f>
        <v>&lt;prix&gt;10&lt;/prix&gt;</v>
      </c>
      <c r="J488" s="7"/>
    </row>
    <row r="489" spans="1:10" ht="15" customHeight="1" x14ac:dyDescent="0.25">
      <c r="A489" s="1">
        <v>0</v>
      </c>
      <c r="G489" s="5"/>
      <c r="H489" s="6"/>
      <c r="I489" s="6" t="str">
        <f>CONCATENATE("&lt;vendu&gt;",TRIM(A489),"&lt;/vendu&gt;")</f>
        <v>&lt;vendu&gt;0&lt;/vendu&gt;</v>
      </c>
      <c r="J489" s="7"/>
    </row>
    <row r="490" spans="1:10" ht="15" customHeight="1" x14ac:dyDescent="0.25">
      <c r="A490" s="15"/>
      <c r="G490" s="5"/>
      <c r="H490" s="6"/>
      <c r="I490" s="6" t="s">
        <v>6</v>
      </c>
      <c r="J490" s="7"/>
    </row>
    <row r="491" spans="1:10" ht="15" customHeight="1" x14ac:dyDescent="0.25">
      <c r="A491" s="1" t="s">
        <v>239</v>
      </c>
      <c r="G491" s="5"/>
      <c r="H491" s="6"/>
      <c r="I491" s="6"/>
      <c r="J491" s="7" t="str">
        <f>CONCATENATE("&lt;image&gt;",TRIM(A491),"&lt;/image&gt;")</f>
        <v>&lt;image&gt;P1080368.jpg&lt;/image&gt;</v>
      </c>
    </row>
    <row r="492" spans="1:10" ht="15" customHeight="1" x14ac:dyDescent="0.25">
      <c r="A492" s="1" t="s">
        <v>240</v>
      </c>
      <c r="G492" s="5"/>
      <c r="H492" s="6"/>
      <c r="I492" s="6"/>
      <c r="J492" s="7" t="str">
        <f>CONCATENATE("&lt;image&gt;",TRIM(A492),"&lt;/image&gt;")</f>
        <v>&lt;image&gt;P1080371.jpg&lt;/image&gt;</v>
      </c>
    </row>
    <row r="493" spans="1:10" ht="15" customHeight="1" x14ac:dyDescent="0.25">
      <c r="A493" s="1" t="s">
        <v>241</v>
      </c>
      <c r="G493" s="5"/>
      <c r="H493" s="6"/>
      <c r="I493" s="6"/>
      <c r="J493" s="7" t="str">
        <f>CONCATENATE("&lt;image&gt;",TRIM(A493),"&lt;/image&gt;")</f>
        <v>&lt;image&gt;P1080372.jpg&lt;/image&gt;</v>
      </c>
    </row>
    <row r="494" spans="1:10" ht="15" customHeight="1" x14ac:dyDescent="0.25">
      <c r="A494" s="1" t="s">
        <v>242</v>
      </c>
      <c r="G494" s="5"/>
      <c r="H494" s="6"/>
      <c r="I494" s="6"/>
      <c r="J494" s="7" t="str">
        <f>CONCATENATE("&lt;image&gt;",TRIM(A494),"&lt;/image&gt;")</f>
        <v>&lt;image&gt;P1080373.jpg&lt;/image&gt;</v>
      </c>
    </row>
    <row r="495" spans="1:10" ht="15" customHeight="1" x14ac:dyDescent="0.25">
      <c r="A495" s="1" t="s">
        <v>243</v>
      </c>
      <c r="G495" s="5"/>
      <c r="H495" s="6"/>
      <c r="I495" s="6"/>
      <c r="J495" s="7" t="str">
        <f>CONCATENATE("&lt;image&gt;",TRIM(A495),"&lt;/image&gt;")</f>
        <v>&lt;image&gt;P1080386.jpg&lt;/image&gt;</v>
      </c>
    </row>
    <row r="496" spans="1:10" ht="15" customHeight="1" x14ac:dyDescent="0.25">
      <c r="A496" s="15"/>
      <c r="G496" s="5"/>
      <c r="H496" s="6"/>
      <c r="I496" s="6" t="s">
        <v>7</v>
      </c>
      <c r="J496" s="7"/>
    </row>
    <row r="497" spans="1:10" ht="15" customHeight="1" x14ac:dyDescent="0.25">
      <c r="A497" s="15"/>
      <c r="G497" s="5"/>
      <c r="H497" s="6" t="s">
        <v>4</v>
      </c>
      <c r="I497" s="6"/>
      <c r="J497" s="7"/>
    </row>
    <row r="498" spans="1:10" ht="15" customHeight="1" x14ac:dyDescent="0.25">
      <c r="A498" s="16">
        <f>A485+1</f>
        <v>41</v>
      </c>
      <c r="G498" s="5"/>
      <c r="H498" s="6" t="str">
        <f>CONCATENATE("&lt;article id=""",A498,"""&gt;")</f>
        <v>&lt;article id="41"&gt;</v>
      </c>
      <c r="I498" s="6"/>
      <c r="J498" s="7"/>
    </row>
    <row r="499" spans="1:10" ht="15" customHeight="1" x14ac:dyDescent="0.25">
      <c r="A499" s="13" t="s">
        <v>254</v>
      </c>
      <c r="G499" s="5"/>
      <c r="H499" s="6"/>
      <c r="I499" s="6" t="str">
        <f>CONCATENATE("&lt;titre&gt;",TRIM(A499),"&lt;/titre&gt;")</f>
        <v>&lt;titre&gt;Vêtements bébé 12 mois&lt;/titre&gt;</v>
      </c>
      <c r="J499" s="7"/>
    </row>
    <row r="500" spans="1:10" ht="15" customHeight="1" x14ac:dyDescent="0.25">
      <c r="A500" s="12" t="s">
        <v>255</v>
      </c>
      <c r="G500" s="5"/>
      <c r="H500" s="6"/>
      <c r="I500" s="6" t="str">
        <f>CONCATENATE("&lt;desc&gt;",TRIM(A500),"&lt;/desc&gt;")</f>
        <v>&lt;desc&gt;Lot 30 morceaux
- 2 Saloppettes
- 9 pyjamas à pressions
- 5 chandails 
- 1 ensemble pantalon + chemise manches longues
- 1 ensemble pantalon + chemise manches courtes
- 1 ensemble pantalon + chandail + chemise manches courtes
- 1 body rayé noir et blanc
- 1 chandail Regate
- 1 pull en laine rouge
- 1 chapeau
- 2 bavoirs lavables
- 1 paire de bottes
(Lot non séparable)
(Maison sans animaux et sans fumée)&lt;/desc&gt;</v>
      </c>
      <c r="J500" s="7"/>
    </row>
    <row r="501" spans="1:10" ht="15" customHeight="1" x14ac:dyDescent="0.25">
      <c r="A501" s="17">
        <v>20</v>
      </c>
      <c r="G501" s="5"/>
      <c r="H501" s="6"/>
      <c r="I501" s="6" t="str">
        <f>CONCATENATE("&lt;prix&gt;",TRIM(A501),"&lt;/prix&gt;")</f>
        <v>&lt;prix&gt;20&lt;/prix&gt;</v>
      </c>
      <c r="J501" s="7"/>
    </row>
    <row r="502" spans="1:10" ht="15" customHeight="1" x14ac:dyDescent="0.25">
      <c r="A502" s="1">
        <v>0</v>
      </c>
      <c r="G502" s="5"/>
      <c r="H502" s="6"/>
      <c r="I502" s="6" t="str">
        <f>CONCATENATE("&lt;vendu&gt;",TRIM(A502),"&lt;/vendu&gt;")</f>
        <v>&lt;vendu&gt;0&lt;/vendu&gt;</v>
      </c>
      <c r="J502" s="7"/>
    </row>
    <row r="503" spans="1:10" ht="15" customHeight="1" x14ac:dyDescent="0.25">
      <c r="A503" s="15"/>
      <c r="G503" s="5"/>
      <c r="H503" s="6"/>
      <c r="I503" s="6" t="s">
        <v>6</v>
      </c>
      <c r="J503" s="7"/>
    </row>
    <row r="504" spans="1:10" ht="15" customHeight="1" x14ac:dyDescent="0.25">
      <c r="A504" s="1" t="s">
        <v>244</v>
      </c>
      <c r="G504" s="5"/>
      <c r="H504" s="6"/>
      <c r="I504" s="6"/>
      <c r="J504" s="7" t="str">
        <f t="shared" ref="J504:J513" si="42">CONCATENATE("&lt;image&gt;",TRIM(A504),"&lt;/image&gt;")</f>
        <v>&lt;image&gt;HP1080379b.jpg&lt;/image&gt;</v>
      </c>
    </row>
    <row r="505" spans="1:10" ht="15" customHeight="1" x14ac:dyDescent="0.25">
      <c r="A505" s="1" t="s">
        <v>245</v>
      </c>
      <c r="G505" s="5"/>
      <c r="H505" s="6"/>
      <c r="I505" s="6"/>
      <c r="J505" s="7" t="str">
        <f t="shared" si="42"/>
        <v>&lt;image&gt;HP1080380.jpg&lt;/image&gt;</v>
      </c>
    </row>
    <row r="506" spans="1:10" ht="15" customHeight="1" x14ac:dyDescent="0.25">
      <c r="A506" s="1" t="s">
        <v>246</v>
      </c>
      <c r="G506" s="5"/>
      <c r="H506" s="6"/>
      <c r="I506" s="6"/>
      <c r="J506" s="7" t="str">
        <f t="shared" si="42"/>
        <v>&lt;image&gt;P1080374.jpg&lt;/image&gt;</v>
      </c>
    </row>
    <row r="507" spans="1:10" ht="15" customHeight="1" x14ac:dyDescent="0.25">
      <c r="A507" s="1" t="s">
        <v>247</v>
      </c>
      <c r="G507" s="5"/>
      <c r="H507" s="6"/>
      <c r="I507" s="6"/>
      <c r="J507" s="7" t="str">
        <f t="shared" si="42"/>
        <v>&lt;image&gt;P1080376.jpg&lt;/image&gt;</v>
      </c>
    </row>
    <row r="508" spans="1:10" ht="15" customHeight="1" x14ac:dyDescent="0.25">
      <c r="A508" s="1" t="s">
        <v>248</v>
      </c>
      <c r="G508" s="5"/>
      <c r="H508" s="6"/>
      <c r="I508" s="6"/>
      <c r="J508" s="7" t="str">
        <f t="shared" si="42"/>
        <v>&lt;image&gt;P1080377.jpg&lt;/image&gt;</v>
      </c>
    </row>
    <row r="509" spans="1:10" ht="15" customHeight="1" x14ac:dyDescent="0.25">
      <c r="A509" s="1" t="s">
        <v>249</v>
      </c>
      <c r="G509" s="5"/>
      <c r="H509" s="6"/>
      <c r="I509" s="6"/>
      <c r="J509" s="7" t="str">
        <f t="shared" si="42"/>
        <v>&lt;image&gt;P1080380b.jpg&lt;/image&gt;</v>
      </c>
    </row>
    <row r="510" spans="1:10" ht="15" customHeight="1" x14ac:dyDescent="0.25">
      <c r="A510" s="1" t="s">
        <v>250</v>
      </c>
      <c r="G510" s="5"/>
      <c r="H510" s="6"/>
      <c r="I510" s="6"/>
      <c r="J510" s="7" t="str">
        <f t="shared" si="42"/>
        <v>&lt;image&gt;P1080389.jpg&lt;/image&gt;</v>
      </c>
    </row>
    <row r="511" spans="1:10" ht="15" customHeight="1" x14ac:dyDescent="0.25">
      <c r="A511" s="1" t="s">
        <v>251</v>
      </c>
      <c r="G511" s="5"/>
      <c r="H511" s="6"/>
      <c r="I511" s="6"/>
      <c r="J511" s="7" t="str">
        <f t="shared" si="42"/>
        <v>&lt;image&gt;P31080360.jpg&lt;/image&gt;</v>
      </c>
    </row>
    <row r="512" spans="1:10" ht="15" customHeight="1" x14ac:dyDescent="0.25">
      <c r="A512" s="1" t="s">
        <v>252</v>
      </c>
      <c r="G512" s="5"/>
      <c r="H512" s="6"/>
      <c r="I512" s="6"/>
      <c r="J512" s="7" t="str">
        <f t="shared" si="42"/>
        <v>&lt;image&gt;QDivers.jpg&lt;/image&gt;</v>
      </c>
    </row>
    <row r="513" spans="1:10" ht="15" customHeight="1" x14ac:dyDescent="0.25">
      <c r="A513" s="1" t="s">
        <v>253</v>
      </c>
      <c r="G513" s="5"/>
      <c r="H513" s="6"/>
      <c r="I513" s="6"/>
      <c r="J513" s="7" t="str">
        <f t="shared" si="42"/>
        <v>&lt;image&gt;WP1080074.jpg&lt;/image&gt;</v>
      </c>
    </row>
    <row r="514" spans="1:10" ht="15" customHeight="1" x14ac:dyDescent="0.25">
      <c r="A514" s="15"/>
      <c r="G514" s="5"/>
      <c r="H514" s="6"/>
      <c r="I514" s="6" t="s">
        <v>7</v>
      </c>
      <c r="J514" s="7"/>
    </row>
    <row r="515" spans="1:10" ht="15" customHeight="1" x14ac:dyDescent="0.25">
      <c r="A515" s="15"/>
      <c r="G515" s="5"/>
      <c r="H515" s="6" t="s">
        <v>4</v>
      </c>
      <c r="I515" s="6"/>
      <c r="J515" s="7"/>
    </row>
    <row r="516" spans="1:10" ht="15" customHeight="1" x14ac:dyDescent="0.25">
      <c r="A516" s="16">
        <f>A498+1</f>
        <v>42</v>
      </c>
      <c r="G516" s="5"/>
      <c r="H516" s="6" t="str">
        <f>CONCATENATE("&lt;article id=""",A516,"""&gt;")</f>
        <v>&lt;article id="42"&gt;</v>
      </c>
      <c r="I516" s="6"/>
      <c r="J516" s="7"/>
    </row>
    <row r="517" spans="1:10" ht="15" customHeight="1" x14ac:dyDescent="0.25">
      <c r="A517" s="13" t="s">
        <v>256</v>
      </c>
      <c r="G517" s="5"/>
      <c r="H517" s="6"/>
      <c r="I517" s="6" t="str">
        <f>CONCATENATE("&lt;titre&gt;",TRIM(A517),"&lt;/titre&gt;")</f>
        <v>&lt;titre&gt;Vêtement bébé 18 mois&lt;/titre&gt;</v>
      </c>
      <c r="J517" s="7"/>
    </row>
    <row r="518" spans="1:10" ht="15" customHeight="1" x14ac:dyDescent="0.25">
      <c r="A518" s="12" t="s">
        <v>257</v>
      </c>
      <c r="G518" s="5"/>
      <c r="H518" s="6"/>
      <c r="I518" s="6" t="str">
        <f>CONCATENATE("&lt;desc&gt;",TRIM(A518),"&lt;/desc&gt;")</f>
        <v>&lt;desc&gt;Lot de 40 morceaux
- 6 pyjamas
- 5 body (2 manches longues, 3 manches courtes)
- 4 tee-shirt manches longues
- 4 tee-shirt manches courtes
- 2 chemises
- 1 pantalon
- 1 salopette
- 1 pull
- 1 pull sans manche
- 1 costume : chemise + pantalon + gilet sans manche + cravate
- 1 tee-shirt sans manche
- 2 shorts
- 1 chapaeu de soleil
- 7 paires de chaussettes
(Lot non séparable)
(Maison sans animaux et sans fumée)&lt;/desc&gt;</v>
      </c>
      <c r="J518" s="7"/>
    </row>
    <row r="519" spans="1:10" ht="15" customHeight="1" x14ac:dyDescent="0.25">
      <c r="A519" s="17">
        <v>30</v>
      </c>
      <c r="G519" s="5"/>
      <c r="H519" s="6"/>
      <c r="I519" s="6" t="str">
        <f>CONCATENATE("&lt;prix&gt;",TRIM(A519),"&lt;/prix&gt;")</f>
        <v>&lt;prix&gt;30&lt;/prix&gt;</v>
      </c>
      <c r="J519" s="7"/>
    </row>
    <row r="520" spans="1:10" ht="15" customHeight="1" x14ac:dyDescent="0.25">
      <c r="A520" s="1">
        <v>0</v>
      </c>
      <c r="G520" s="5"/>
      <c r="H520" s="6"/>
      <c r="I520" s="6" t="str">
        <f>CONCATENATE("&lt;vendu&gt;",TRIM(A520),"&lt;/vendu&gt;")</f>
        <v>&lt;vendu&gt;0&lt;/vendu&gt;</v>
      </c>
      <c r="J520" s="7"/>
    </row>
    <row r="521" spans="1:10" ht="15" customHeight="1" x14ac:dyDescent="0.25">
      <c r="A521" s="15"/>
      <c r="G521" s="5"/>
      <c r="H521" s="6"/>
      <c r="I521" s="6" t="s">
        <v>6</v>
      </c>
      <c r="J521" s="7"/>
    </row>
    <row r="522" spans="1:10" ht="15" customHeight="1" x14ac:dyDescent="0.25">
      <c r="A522" s="1" t="s">
        <v>258</v>
      </c>
      <c r="G522" s="5"/>
      <c r="H522" s="6"/>
      <c r="I522" s="6"/>
      <c r="J522" s="7" t="str">
        <f t="shared" ref="J522:J529" si="43">CONCATENATE("&lt;image&gt;",TRIM(A522),"&lt;/image&gt;")</f>
        <v>&lt;image&gt;P1080906.jpg&lt;/image&gt;</v>
      </c>
    </row>
    <row r="523" spans="1:10" ht="15" customHeight="1" x14ac:dyDescent="0.25">
      <c r="A523" s="1" t="s">
        <v>259</v>
      </c>
      <c r="G523" s="5"/>
      <c r="H523" s="6"/>
      <c r="I523" s="6"/>
      <c r="J523" s="7" t="str">
        <f t="shared" si="43"/>
        <v>&lt;image&gt;P1080907.jpg&lt;/image&gt;</v>
      </c>
    </row>
    <row r="524" spans="1:10" ht="15" customHeight="1" x14ac:dyDescent="0.25">
      <c r="A524" s="1" t="s">
        <v>260</v>
      </c>
      <c r="G524" s="5"/>
      <c r="H524" s="6"/>
      <c r="I524" s="6"/>
      <c r="J524" s="7" t="str">
        <f t="shared" si="43"/>
        <v>&lt;image&gt;P1080909.jpg&lt;/image&gt;</v>
      </c>
    </row>
    <row r="525" spans="1:10" ht="15" customHeight="1" x14ac:dyDescent="0.25">
      <c r="A525" s="1" t="s">
        <v>261</v>
      </c>
      <c r="G525" s="5"/>
      <c r="H525" s="6"/>
      <c r="I525" s="6"/>
      <c r="J525" s="7" t="str">
        <f t="shared" si="43"/>
        <v>&lt;image&gt;P1080911.jpg&lt;/image&gt;</v>
      </c>
    </row>
    <row r="526" spans="1:10" ht="15" customHeight="1" x14ac:dyDescent="0.25">
      <c r="A526" s="1" t="s">
        <v>262</v>
      </c>
      <c r="G526" s="5"/>
      <c r="H526" s="6"/>
      <c r="I526" s="6"/>
      <c r="J526" s="7" t="str">
        <f t="shared" si="43"/>
        <v>&lt;image&gt;P1080913.jpg&lt;/image&gt;</v>
      </c>
    </row>
    <row r="527" spans="1:10" ht="15" customHeight="1" x14ac:dyDescent="0.25">
      <c r="A527" s="1" t="s">
        <v>263</v>
      </c>
      <c r="G527" s="5"/>
      <c r="H527" s="6"/>
      <c r="I527" s="6"/>
      <c r="J527" s="7" t="str">
        <f t="shared" si="43"/>
        <v>&lt;image&gt;P1080915.jpg&lt;/image&gt;</v>
      </c>
    </row>
    <row r="528" spans="1:10" ht="15" customHeight="1" x14ac:dyDescent="0.25">
      <c r="A528" s="1" t="s">
        <v>264</v>
      </c>
      <c r="G528" s="5"/>
      <c r="H528" s="6"/>
      <c r="I528" s="6"/>
      <c r="J528" s="7" t="str">
        <f t="shared" si="43"/>
        <v>&lt;image&gt;P1080916.jpg&lt;/image&gt;</v>
      </c>
    </row>
    <row r="529" spans="1:10" ht="15" customHeight="1" x14ac:dyDescent="0.25">
      <c r="A529" s="1" t="s">
        <v>265</v>
      </c>
      <c r="G529" s="5"/>
      <c r="H529" s="6"/>
      <c r="I529" s="6"/>
      <c r="J529" s="7" t="str">
        <f t="shared" si="43"/>
        <v>&lt;image&gt;P1080919.jpg&lt;/image&gt;</v>
      </c>
    </row>
    <row r="530" spans="1:10" ht="15" customHeight="1" x14ac:dyDescent="0.25">
      <c r="A530" s="15"/>
      <c r="G530" s="5"/>
      <c r="H530" s="6"/>
      <c r="I530" s="6" t="s">
        <v>7</v>
      </c>
      <c r="J530" s="7"/>
    </row>
    <row r="531" spans="1:10" ht="15" customHeight="1" x14ac:dyDescent="0.25">
      <c r="A531" s="15"/>
      <c r="G531" s="5"/>
      <c r="H531" s="6" t="s">
        <v>4</v>
      </c>
      <c r="I531" s="6"/>
      <c r="J531" s="7"/>
    </row>
    <row r="532" spans="1:10" ht="15" customHeight="1" x14ac:dyDescent="0.25">
      <c r="A532" s="16">
        <f>A516+1</f>
        <v>43</v>
      </c>
      <c r="G532" s="5"/>
      <c r="H532" s="6" t="str">
        <f>CONCATENATE("&lt;article id=""",A532,"""&gt;")</f>
        <v>&lt;article id="43"&gt;</v>
      </c>
      <c r="I532" s="6"/>
      <c r="J532" s="7"/>
    </row>
    <row r="533" spans="1:10" ht="15" customHeight="1" x14ac:dyDescent="0.25">
      <c r="A533" s="13" t="s">
        <v>266</v>
      </c>
      <c r="G533" s="5"/>
      <c r="H533" s="6"/>
      <c r="I533" s="6" t="str">
        <f>CONCATENATE("&lt;titre&gt;",TRIM(A533),"&lt;/titre&gt;")</f>
        <v>&lt;titre&gt;Vêtement bébé 24 mois&lt;/titre&gt;</v>
      </c>
      <c r="J533" s="7"/>
    </row>
    <row r="534" spans="1:10" ht="15" customHeight="1" x14ac:dyDescent="0.25">
      <c r="A534" s="12" t="s">
        <v>267</v>
      </c>
      <c r="G534" s="5"/>
      <c r="H534" s="6"/>
      <c r="I534" s="6" t="str">
        <f>CONCATENATE("&lt;desc&gt;",TRIM(A534),"&lt;/desc&gt;")</f>
        <v>&lt;desc&gt;Lot de 31 morceaux
- 5 body à manches courtes
- 3 body à manches longues
- 5 tee-shirt manches longues
- 1 ensemle pantalon + tee shirt à manches longues
- 2 chemises
- 1 jean
- 1 ensemble chandail + pantalon
- 1 chandail
- 1 pantalon
- 1 gilet manches longues avec capuche détachable
- 1 short
- 1 chapeau de soleil
- 6 paires de chaussettes
(Lot non séparable)
(Maison sans animaux et sans fumée)&lt;/desc&gt;</v>
      </c>
      <c r="J534" s="7"/>
    </row>
    <row r="535" spans="1:10" ht="15" customHeight="1" x14ac:dyDescent="0.25">
      <c r="A535" s="17">
        <v>20</v>
      </c>
      <c r="G535" s="5"/>
      <c r="H535" s="6"/>
      <c r="I535" s="6" t="str">
        <f>CONCATENATE("&lt;prix&gt;",TRIM(A535),"&lt;/prix&gt;")</f>
        <v>&lt;prix&gt;20&lt;/prix&gt;</v>
      </c>
      <c r="J535" s="7"/>
    </row>
    <row r="536" spans="1:10" ht="15" customHeight="1" x14ac:dyDescent="0.25">
      <c r="A536" s="1">
        <v>0</v>
      </c>
      <c r="G536" s="5"/>
      <c r="H536" s="6"/>
      <c r="I536" s="6" t="str">
        <f>CONCATENATE("&lt;vendu&gt;",TRIM(A536),"&lt;/vendu&gt;")</f>
        <v>&lt;vendu&gt;0&lt;/vendu&gt;</v>
      </c>
      <c r="J536" s="7"/>
    </row>
    <row r="537" spans="1:10" ht="15" customHeight="1" x14ac:dyDescent="0.25">
      <c r="A537" s="15"/>
      <c r="G537" s="5"/>
      <c r="H537" s="6"/>
      <c r="I537" s="6" t="s">
        <v>6</v>
      </c>
      <c r="J537" s="7"/>
    </row>
    <row r="538" spans="1:10" ht="15" customHeight="1" x14ac:dyDescent="0.25">
      <c r="A538" s="1" t="s">
        <v>268</v>
      </c>
      <c r="G538" s="5"/>
      <c r="H538" s="6"/>
      <c r="I538" s="6"/>
      <c r="J538" s="7" t="str">
        <f t="shared" ref="J538:J546" si="44">CONCATENATE("&lt;image&gt;",TRIM(A538),"&lt;/image&gt;")</f>
        <v>&lt;image&gt;P1080920.jpg&lt;/image&gt;</v>
      </c>
    </row>
    <row r="539" spans="1:10" ht="15" customHeight="1" x14ac:dyDescent="0.25">
      <c r="A539" s="1" t="s">
        <v>269</v>
      </c>
      <c r="G539" s="5"/>
      <c r="H539" s="6"/>
      <c r="I539" s="6"/>
      <c r="J539" s="7" t="str">
        <f t="shared" si="44"/>
        <v>&lt;image&gt;P1080923.jpg&lt;/image&gt;</v>
      </c>
    </row>
    <row r="540" spans="1:10" ht="15" customHeight="1" x14ac:dyDescent="0.25">
      <c r="A540" s="1" t="s">
        <v>270</v>
      </c>
      <c r="G540" s="5"/>
      <c r="H540" s="6"/>
      <c r="I540" s="6"/>
      <c r="J540" s="7" t="str">
        <f t="shared" si="44"/>
        <v>&lt;image&gt;P1080925.jpg&lt;/image&gt;</v>
      </c>
    </row>
    <row r="541" spans="1:10" ht="15" customHeight="1" x14ac:dyDescent="0.25">
      <c r="A541" s="1" t="s">
        <v>271</v>
      </c>
      <c r="G541" s="5"/>
      <c r="H541" s="6"/>
      <c r="I541" s="6"/>
      <c r="J541" s="7" t="str">
        <f t="shared" si="44"/>
        <v>&lt;image&gt;P1080927.jpg&lt;/image&gt;</v>
      </c>
    </row>
    <row r="542" spans="1:10" ht="15" customHeight="1" x14ac:dyDescent="0.25">
      <c r="A542" s="1" t="s">
        <v>272</v>
      </c>
      <c r="G542" s="5"/>
      <c r="H542" s="6"/>
      <c r="I542" s="6"/>
      <c r="J542" s="7" t="str">
        <f t="shared" si="44"/>
        <v>&lt;image&gt;P1080928.jpg&lt;/image&gt;</v>
      </c>
    </row>
    <row r="543" spans="1:10" ht="15" customHeight="1" x14ac:dyDescent="0.25">
      <c r="A543" s="1" t="s">
        <v>273</v>
      </c>
      <c r="G543" s="5"/>
      <c r="H543" s="6"/>
      <c r="I543" s="6"/>
      <c r="J543" s="7" t="str">
        <f t="shared" si="44"/>
        <v>&lt;image&gt;P1080931.jpg&lt;/image&gt;</v>
      </c>
    </row>
    <row r="544" spans="1:10" ht="15" customHeight="1" x14ac:dyDescent="0.25">
      <c r="A544" s="1" t="s">
        <v>274</v>
      </c>
      <c r="G544" s="5"/>
      <c r="H544" s="6"/>
      <c r="I544" s="6"/>
      <c r="J544" s="7" t="str">
        <f t="shared" si="44"/>
        <v>&lt;image&gt;P1080932.jpg&lt;/image&gt;</v>
      </c>
    </row>
    <row r="545" spans="1:10" ht="15" customHeight="1" x14ac:dyDescent="0.25">
      <c r="A545" s="1" t="s">
        <v>275</v>
      </c>
      <c r="G545" s="5"/>
      <c r="H545" s="6"/>
      <c r="I545" s="6"/>
      <c r="J545" s="7" t="str">
        <f t="shared" si="44"/>
        <v>&lt;image&gt;P1080934.jpg&lt;/image&gt;</v>
      </c>
    </row>
    <row r="546" spans="1:10" ht="15" customHeight="1" x14ac:dyDescent="0.25">
      <c r="A546" s="1" t="s">
        <v>276</v>
      </c>
      <c r="G546" s="5"/>
      <c r="H546" s="6"/>
      <c r="I546" s="6"/>
      <c r="J546" s="7" t="str">
        <f t="shared" si="44"/>
        <v>&lt;image&gt;P1080935.jpg&lt;/image&gt;</v>
      </c>
    </row>
    <row r="547" spans="1:10" ht="15" customHeight="1" x14ac:dyDescent="0.25">
      <c r="A547" s="15"/>
      <c r="G547" s="5"/>
      <c r="H547" s="6"/>
      <c r="I547" s="6" t="s">
        <v>7</v>
      </c>
      <c r="J547" s="7"/>
    </row>
    <row r="548" spans="1:10" ht="15" customHeight="1" x14ac:dyDescent="0.25">
      <c r="A548" s="15"/>
      <c r="G548" s="5"/>
      <c r="H548" s="6" t="s">
        <v>4</v>
      </c>
      <c r="I548" s="6"/>
      <c r="J548" s="7"/>
    </row>
    <row r="549" spans="1:10" ht="15" customHeight="1" x14ac:dyDescent="0.25">
      <c r="A549" s="16">
        <f>A532+1</f>
        <v>44</v>
      </c>
      <c r="G549" s="5"/>
      <c r="H549" s="6" t="str">
        <f>CONCATENATE("&lt;article id=""",A549,"""&gt;")</f>
        <v>&lt;article id="44"&gt;</v>
      </c>
      <c r="I549" s="6"/>
      <c r="J549" s="7"/>
    </row>
    <row r="550" spans="1:10" ht="15" customHeight="1" x14ac:dyDescent="0.25">
      <c r="A550" s="13" t="s">
        <v>277</v>
      </c>
      <c r="G550" s="5"/>
      <c r="H550" s="6"/>
      <c r="I550" s="6" t="str">
        <f>CONCATENATE("&lt;titre&gt;",TRIM(A550),"&lt;/titre&gt;")</f>
        <v>&lt;titre&gt;Couches bébé&lt;/titre&gt;</v>
      </c>
      <c r="J550" s="7"/>
    </row>
    <row r="551" spans="1:10" ht="15" customHeight="1" x14ac:dyDescent="0.25">
      <c r="A551" s="12" t="s">
        <v>278</v>
      </c>
      <c r="G551" s="5"/>
      <c r="H551" s="6"/>
      <c r="I551" s="6" t="str">
        <f>CONCATENATE("&lt;desc&gt;",TRIM(A551),"&lt;/desc&gt;")</f>
        <v>&lt;desc&gt;- 110 couches taille 4 (10-17kg)
- 9 couches piscine taille grand (14kg+)&lt;/desc&gt;</v>
      </c>
      <c r="J551" s="7"/>
    </row>
    <row r="552" spans="1:10" ht="15" customHeight="1" x14ac:dyDescent="0.25">
      <c r="A552" s="17">
        <v>10</v>
      </c>
      <c r="G552" s="5"/>
      <c r="H552" s="6"/>
      <c r="I552" s="6" t="str">
        <f>CONCATENATE("&lt;prix&gt;",TRIM(A552),"&lt;/prix&gt;")</f>
        <v>&lt;prix&gt;10&lt;/prix&gt;</v>
      </c>
      <c r="J552" s="7"/>
    </row>
    <row r="553" spans="1:10" ht="15" customHeight="1" x14ac:dyDescent="0.25">
      <c r="A553" s="1">
        <v>0</v>
      </c>
      <c r="G553" s="5"/>
      <c r="H553" s="6"/>
      <c r="I553" s="6" t="str">
        <f>CONCATENATE("&lt;vendu&gt;",TRIM(A553),"&lt;/vendu&gt;")</f>
        <v>&lt;vendu&gt;0&lt;/vendu&gt;</v>
      </c>
      <c r="J553" s="7"/>
    </row>
    <row r="554" spans="1:10" ht="15" customHeight="1" x14ac:dyDescent="0.25">
      <c r="A554" s="15"/>
      <c r="G554" s="5"/>
      <c r="H554" s="6"/>
      <c r="I554" s="6" t="s">
        <v>6</v>
      </c>
      <c r="J554" s="7"/>
    </row>
    <row r="555" spans="1:10" ht="15" customHeight="1" x14ac:dyDescent="0.25">
      <c r="A555" s="1" t="s">
        <v>279</v>
      </c>
      <c r="G555" s="5"/>
      <c r="H555" s="6"/>
      <c r="I555" s="6"/>
      <c r="J555" s="7" t="str">
        <f>CONCATENATE("&lt;image&gt;",TRIM(A555),"&lt;/image&gt;")</f>
        <v>&lt;image&gt;P1080938.jpg&lt;/image&gt;</v>
      </c>
    </row>
    <row r="556" spans="1:10" ht="15" customHeight="1" x14ac:dyDescent="0.25">
      <c r="A556" s="15"/>
      <c r="G556" s="5"/>
      <c r="H556" s="6"/>
      <c r="I556" s="6" t="s">
        <v>7</v>
      </c>
      <c r="J556" s="7"/>
    </row>
    <row r="557" spans="1:10" ht="15" customHeight="1" x14ac:dyDescent="0.25">
      <c r="A557" s="15"/>
      <c r="G557" s="5"/>
      <c r="H557" s="6" t="s">
        <v>4</v>
      </c>
      <c r="I557" s="6"/>
      <c r="J557" s="7"/>
    </row>
    <row r="558" spans="1:10" ht="15" customHeight="1" x14ac:dyDescent="0.25">
      <c r="A558" s="16">
        <f>A549+1</f>
        <v>45</v>
      </c>
      <c r="G558" s="5"/>
      <c r="H558" s="6" t="str">
        <f>CONCATENATE("&lt;article id=""",A558,"""&gt;")</f>
        <v>&lt;article id="45"&gt;</v>
      </c>
      <c r="I558" s="6"/>
      <c r="J558" s="7"/>
    </row>
    <row r="559" spans="1:10" ht="15" customHeight="1" x14ac:dyDescent="0.25">
      <c r="A559" s="13" t="s">
        <v>280</v>
      </c>
      <c r="G559" s="5"/>
      <c r="H559" s="6"/>
      <c r="I559" s="6" t="str">
        <f>CONCATENATE("&lt;titre&gt;",TRIM(A559),"&lt;/titre&gt;")</f>
        <v>&lt;titre&gt;Tire-lait&lt;/titre&gt;</v>
      </c>
      <c r="J559" s="7"/>
    </row>
    <row r="560" spans="1:10" ht="15" customHeight="1" x14ac:dyDescent="0.25">
      <c r="A560" s="12" t="s">
        <v>282</v>
      </c>
      <c r="G560" s="5"/>
      <c r="H560" s="6"/>
      <c r="I560" s="6" t="str">
        <f>CONCATENATE("&lt;desc&gt;",TRIM(A560),"&lt;/desc&gt;")</f>
        <v>&lt;desc&gt;- 1 tire-lait
- 2 biberons en plastique avec bouchon + 1 tétine
- 1 biberon en verre avec tétine
- 1 porte biberon
- Livret d&amp;apos;instruction&lt;/desc&gt;</v>
      </c>
      <c r="J560" s="7"/>
    </row>
    <row r="561" spans="1:10" ht="15" customHeight="1" x14ac:dyDescent="0.25">
      <c r="A561" s="17">
        <v>10</v>
      </c>
      <c r="G561" s="5"/>
      <c r="H561" s="6"/>
      <c r="I561" s="6" t="str">
        <f>CONCATENATE("&lt;prix&gt;",TRIM(A561),"&lt;/prix&gt;")</f>
        <v>&lt;prix&gt;10&lt;/prix&gt;</v>
      </c>
      <c r="J561" s="7"/>
    </row>
    <row r="562" spans="1:10" ht="15" customHeight="1" x14ac:dyDescent="0.25">
      <c r="A562" s="1">
        <v>0</v>
      </c>
      <c r="G562" s="5"/>
      <c r="H562" s="6"/>
      <c r="I562" s="6" t="str">
        <f>CONCATENATE("&lt;vendu&gt;",TRIM(A562),"&lt;/vendu&gt;")</f>
        <v>&lt;vendu&gt;0&lt;/vendu&gt;</v>
      </c>
      <c r="J562" s="7"/>
    </row>
    <row r="563" spans="1:10" ht="15" customHeight="1" x14ac:dyDescent="0.25">
      <c r="A563" s="15"/>
      <c r="G563" s="5"/>
      <c r="H563" s="6"/>
      <c r="I563" s="6" t="s">
        <v>6</v>
      </c>
      <c r="J563" s="7"/>
    </row>
    <row r="564" spans="1:10" ht="15" customHeight="1" x14ac:dyDescent="0.25">
      <c r="A564" s="1" t="s">
        <v>281</v>
      </c>
      <c r="G564" s="5"/>
      <c r="H564" s="6"/>
      <c r="I564" s="6"/>
      <c r="J564" s="7" t="str">
        <f>CONCATENATE("&lt;image&gt;",TRIM(A564),"&lt;/image&gt;")</f>
        <v>&lt;image&gt;P1080856.jpg&lt;/image&gt;</v>
      </c>
    </row>
    <row r="565" spans="1:10" ht="15" customHeight="1" x14ac:dyDescent="0.25">
      <c r="A565" s="15"/>
      <c r="G565" s="5"/>
      <c r="H565" s="6"/>
      <c r="I565" s="6" t="s">
        <v>7</v>
      </c>
      <c r="J565" s="7"/>
    </row>
    <row r="566" spans="1:10" ht="15" customHeight="1" x14ac:dyDescent="0.25">
      <c r="A566" s="15"/>
      <c r="G566" s="5"/>
      <c r="H566" s="6" t="s">
        <v>4</v>
      </c>
      <c r="I566" s="6"/>
      <c r="J566" s="7"/>
    </row>
    <row r="567" spans="1:10" ht="15" customHeight="1" x14ac:dyDescent="0.25">
      <c r="A567" s="16">
        <f>A558+1</f>
        <v>46</v>
      </c>
      <c r="G567" s="5"/>
      <c r="H567" s="6" t="str">
        <f>CONCATENATE("&lt;article id=""",A567,"""&gt;")</f>
        <v>&lt;article id="46"&gt;</v>
      </c>
      <c r="I567" s="6"/>
      <c r="J567" s="7"/>
    </row>
    <row r="568" spans="1:10" ht="15" customHeight="1" x14ac:dyDescent="0.25">
      <c r="A568" s="13" t="s">
        <v>290</v>
      </c>
      <c r="G568" s="5"/>
      <c r="H568" s="6"/>
      <c r="I568" s="6" t="str">
        <f>CONCATENATE("&lt;titre&gt;",TRIM(A568),"&lt;/titre&gt;")</f>
        <v>&lt;titre&gt;Contenant pour aliments bébé&lt;/titre&gt;</v>
      </c>
      <c r="J568" s="7"/>
    </row>
    <row r="569" spans="1:10" ht="15" customHeight="1" x14ac:dyDescent="0.25">
      <c r="A569" s="12" t="s">
        <v>291</v>
      </c>
      <c r="G569" s="5"/>
      <c r="H569" s="6"/>
      <c r="I569" s="6" t="str">
        <f>CONCATENATE("&lt;desc&gt;",TRIM(A569),"&lt;/desc&gt;")</f>
        <v>&lt;desc&gt;- 23 contenants blanc avec fermeture
- 3 bacs de support pour contenant blanc
- 7 contenants de couleur avec couvercles
- 1 contenant à boisson avec tétine
- 1 contenant à boisson avec systeme anti-fuite
- 2 tétines pour biberon&lt;/desc&gt;</v>
      </c>
      <c r="J569" s="7"/>
    </row>
    <row r="570" spans="1:10" ht="15" customHeight="1" x14ac:dyDescent="0.25">
      <c r="A570" s="17">
        <v>5</v>
      </c>
      <c r="G570" s="5"/>
      <c r="H570" s="6"/>
      <c r="I570" s="6" t="str">
        <f>CONCATENATE("&lt;prix&gt;",TRIM(A570),"&lt;/prix&gt;")</f>
        <v>&lt;prix&gt;5&lt;/prix&gt;</v>
      </c>
      <c r="J570" s="7"/>
    </row>
    <row r="571" spans="1:10" ht="15" customHeight="1" x14ac:dyDescent="0.25">
      <c r="A571" s="1">
        <v>0</v>
      </c>
      <c r="G571" s="5"/>
      <c r="H571" s="6"/>
      <c r="I571" s="6" t="str">
        <f>CONCATENATE("&lt;vendu&gt;",TRIM(A571),"&lt;/vendu&gt;")</f>
        <v>&lt;vendu&gt;0&lt;/vendu&gt;</v>
      </c>
      <c r="J571" s="7"/>
    </row>
    <row r="572" spans="1:10" ht="15" customHeight="1" x14ac:dyDescent="0.25">
      <c r="A572" s="15"/>
      <c r="G572" s="5"/>
      <c r="H572" s="6"/>
      <c r="I572" s="6" t="s">
        <v>6</v>
      </c>
      <c r="J572" s="7"/>
    </row>
    <row r="573" spans="1:10" ht="15" customHeight="1" x14ac:dyDescent="0.25">
      <c r="A573" s="1" t="s">
        <v>292</v>
      </c>
      <c r="G573" s="5"/>
      <c r="H573" s="6"/>
      <c r="I573" s="6"/>
      <c r="J573" s="7" t="str">
        <f>CONCATENATE("&lt;image&gt;",TRIM(A573),"&lt;/image&gt;")</f>
        <v>&lt;image&gt;P1080969.jpg&lt;/image&gt;</v>
      </c>
    </row>
    <row r="574" spans="1:10" ht="15" customHeight="1" x14ac:dyDescent="0.25">
      <c r="A574" s="15"/>
      <c r="G574" s="5"/>
      <c r="H574" s="6"/>
      <c r="I574" s="6" t="s">
        <v>7</v>
      </c>
      <c r="J574" s="7"/>
    </row>
    <row r="575" spans="1:10" ht="15" customHeight="1" x14ac:dyDescent="0.25">
      <c r="A575" s="15"/>
      <c r="G575" s="5"/>
      <c r="H575" s="6" t="s">
        <v>4</v>
      </c>
      <c r="I575" s="6"/>
      <c r="J575" s="7"/>
    </row>
    <row r="576" spans="1:10" ht="15" customHeight="1" x14ac:dyDescent="0.25">
      <c r="A576" s="16">
        <f>A567+1</f>
        <v>47</v>
      </c>
      <c r="G576" s="5"/>
      <c r="H576" s="6" t="str">
        <f>CONCATENATE("&lt;article id=""",A576,"""&gt;")</f>
        <v>&lt;article id="47"&gt;</v>
      </c>
      <c r="I576" s="6"/>
      <c r="J576" s="7"/>
    </row>
    <row r="577" spans="1:10" ht="15" customHeight="1" x14ac:dyDescent="0.25">
      <c r="A577" s="13" t="s">
        <v>293</v>
      </c>
      <c r="G577" s="5"/>
      <c r="H577" s="6"/>
      <c r="I577" s="6" t="str">
        <f>CONCATENATE("&lt;titre&gt;",TRIM(A577),"&lt;/titre&gt;")</f>
        <v>&lt;titre&gt;Trousse de sécurité enfant&lt;/titre&gt;</v>
      </c>
      <c r="J577" s="7"/>
    </row>
    <row r="578" spans="1:10" ht="15" customHeight="1" x14ac:dyDescent="0.25">
      <c r="A578" s="12" t="s">
        <v>301</v>
      </c>
      <c r="G578" s="5"/>
      <c r="H578" s="6"/>
      <c r="I578" s="6" t="str">
        <f>CONCATENATE("&lt;desc&gt;",TRIM(A578),"&lt;/desc&gt;")</f>
        <v>&lt;desc&gt;- 1 Verrou d&amp;apos;armoire en plastique
- 1 Verrou d&amp;apos;armoire en caouthcouc
- 3 Couvres poignet de porte
- 7 verrous à ressort
- 10 loquets à prise large
- 9 protecteurs de prise&lt;/desc&gt;</v>
      </c>
      <c r="J578" s="7"/>
    </row>
    <row r="579" spans="1:10" ht="15" customHeight="1" x14ac:dyDescent="0.25">
      <c r="A579" s="17">
        <v>8</v>
      </c>
      <c r="G579" s="5"/>
      <c r="H579" s="6"/>
      <c r="I579" s="6" t="str">
        <f>CONCATENATE("&lt;prix&gt;",TRIM(A579),"&lt;/prix&gt;")</f>
        <v>&lt;prix&gt;8&lt;/prix&gt;</v>
      </c>
      <c r="J579" s="7"/>
    </row>
    <row r="580" spans="1:10" ht="15" customHeight="1" x14ac:dyDescent="0.25">
      <c r="A580" s="1">
        <v>0</v>
      </c>
      <c r="G580" s="5"/>
      <c r="H580" s="6"/>
      <c r="I580" s="6" t="str">
        <f>CONCATENATE("&lt;vendu&gt;",TRIM(A580),"&lt;/vendu&gt;")</f>
        <v>&lt;vendu&gt;0&lt;/vendu&gt;</v>
      </c>
      <c r="J580" s="7"/>
    </row>
    <row r="581" spans="1:10" ht="15" customHeight="1" x14ac:dyDescent="0.25">
      <c r="A581" s="15"/>
      <c r="G581" s="5"/>
      <c r="H581" s="6"/>
      <c r="I581" s="6" t="s">
        <v>6</v>
      </c>
      <c r="J581" s="7"/>
    </row>
    <row r="582" spans="1:10" ht="15" customHeight="1" x14ac:dyDescent="0.25">
      <c r="A582" s="1" t="s">
        <v>294</v>
      </c>
      <c r="G582" s="5"/>
      <c r="H582" s="6"/>
      <c r="I582" s="6"/>
      <c r="J582" s="7" t="str">
        <f>CONCATENATE("&lt;image&gt;",TRIM(A582),"&lt;/image&gt;")</f>
        <v>&lt;image&gt;P1080965.jpg&lt;/image&gt;</v>
      </c>
    </row>
    <row r="583" spans="1:10" ht="15" customHeight="1" x14ac:dyDescent="0.25">
      <c r="A583" s="1" t="s">
        <v>295</v>
      </c>
      <c r="G583" s="5"/>
      <c r="H583" s="6"/>
      <c r="I583" s="6"/>
      <c r="J583" s="7" t="str">
        <f>CONCATENATE("&lt;image&gt;",TRIM(A583),"&lt;/image&gt;")</f>
        <v>&lt;image&gt;P1080966.jpg&lt;/image&gt;</v>
      </c>
    </row>
    <row r="584" spans="1:10" ht="15" customHeight="1" x14ac:dyDescent="0.25">
      <c r="A584" s="15"/>
      <c r="G584" s="5"/>
      <c r="H584" s="6"/>
      <c r="I584" s="6" t="s">
        <v>7</v>
      </c>
      <c r="J584" s="7"/>
    </row>
    <row r="585" spans="1:10" ht="15" customHeight="1" x14ac:dyDescent="0.25">
      <c r="A585" s="15"/>
      <c r="G585" s="5"/>
      <c r="H585" s="6" t="s">
        <v>4</v>
      </c>
      <c r="I585" s="6"/>
      <c r="J585" s="7"/>
    </row>
    <row r="586" spans="1:10" ht="15" customHeight="1" x14ac:dyDescent="0.25">
      <c r="A586" s="14"/>
      <c r="G586" s="8" t="s">
        <v>5</v>
      </c>
      <c r="H586" s="9"/>
      <c r="I586" s="9"/>
      <c r="J586" s="10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228"/>
  <sheetViews>
    <sheetView topLeftCell="A226" workbookViewId="0">
      <selection activeCell="A228" sqref="A228"/>
    </sheetView>
  </sheetViews>
  <sheetFormatPr baseColWidth="10" defaultRowHeight="15" x14ac:dyDescent="0.25"/>
  <sheetData>
    <row r="1" spans="1:3" x14ac:dyDescent="0.25">
      <c r="A1" t="s">
        <v>1</v>
      </c>
    </row>
    <row r="2" spans="1:3" x14ac:dyDescent="0.25">
      <c r="A2" t="s">
        <v>2</v>
      </c>
    </row>
    <row r="3" spans="1:3" x14ac:dyDescent="0.25">
      <c r="B3" t="str">
        <f>Feuil1!H3</f>
        <v>&lt;article id="0"&gt;</v>
      </c>
    </row>
    <row r="4" spans="1:3" x14ac:dyDescent="0.25">
      <c r="C4" t="str">
        <f>Feuil1!I4</f>
        <v>&lt;titre&gt;Toyota Corolla CE 2006&lt;/titre&gt;</v>
      </c>
    </row>
    <row r="5" spans="1:3" x14ac:dyDescent="0.25">
      <c r="C5" t="e">
        <f>Feuil1!#REF!</f>
        <v>#REF!</v>
      </c>
    </row>
    <row r="6" spans="1:3" x14ac:dyDescent="0.25">
      <c r="C6" t="str">
        <f>Feuil1!I5</f>
        <v>&lt;desc&gt;- 79 000 kilomètres
- Boite manuelle
- Air climatisée
- Bougies changées automne 2017
- Batterie changée hivers 2017
- Fournie avec pneus d&amp;apos;été et d&amp;apos;hivers
- Changement d&amp;apos;huile et contrôle général du véhicule tous les ans
- Roule peu l&amp;apos;hivers
- Aucun accident, même mineur
- Nous sommes le 2e propriétaire
- Acheté à un concessionnaire Toyota
- Utilisée principalement pour les déplacements de loisirs, pas pour aller travailler&lt;/desc&gt;</v>
      </c>
    </row>
    <row r="7" spans="1:3" x14ac:dyDescent="0.25">
      <c r="C7" t="str">
        <f>Feuil1!I6</f>
        <v>&lt;prix&gt;3750&lt;/prix&gt;</v>
      </c>
    </row>
    <row r="8" spans="1:3" x14ac:dyDescent="0.25">
      <c r="C8" t="str">
        <f>Feuil1!J9</f>
        <v>&lt;image&gt;P1080564.jpg&lt;/image&gt;</v>
      </c>
    </row>
    <row r="9" spans="1:3" x14ac:dyDescent="0.25">
      <c r="C9" t="e">
        <f>Feuil1!#REF!</f>
        <v>#REF!</v>
      </c>
    </row>
    <row r="10" spans="1:3" x14ac:dyDescent="0.25">
      <c r="C10" t="e">
        <f>Feuil1!#REF!</f>
        <v>#REF!</v>
      </c>
    </row>
    <row r="11" spans="1:3" x14ac:dyDescent="0.25">
      <c r="B11" t="str">
        <f>Feuil1!H14</f>
        <v>&lt;/article&gt;</v>
      </c>
    </row>
    <row r="12" spans="1:3" x14ac:dyDescent="0.25">
      <c r="B12" t="str">
        <f>Feuil1!H15</f>
        <v>&lt;article id="1"&gt;</v>
      </c>
    </row>
    <row r="13" spans="1:3" x14ac:dyDescent="0.25">
      <c r="C13" t="str">
        <f>Feuil1!I16</f>
        <v>&lt;titre&gt;Cuisinière électrique Whirlpool GoldSeries&lt;/titre&gt;</v>
      </c>
    </row>
    <row r="14" spans="1:3" x14ac:dyDescent="0.25">
      <c r="C14" t="str">
        <f>Feuil1!I17</f>
        <v>&lt;desc&gt;- Four de 5.3 pieds cube
- Four en acier inoxydable
- Acheté neuf en juillet 2013
- Jamais déménagé
- Vente pour cause de départ à l&amp;apos;étranger
Fonctions : 
- Horloge
- Minuterie
- Programmation
- Cuisson par convection
- Grill
- Maintien au chaud
- Préchauffage rapide
- Auto-nettoyage
- Économie d&amp;apos;energie
- Etc.
Fournit avec guide d&amp;apos;instructions
*** Disponible à partir du 1er juin ! ***
Prix d&amp;apos;achat : 1400$&lt;/desc&gt;</v>
      </c>
    </row>
    <row r="15" spans="1:3" x14ac:dyDescent="0.25">
      <c r="C15" t="str">
        <f>Feuil1!I18</f>
        <v>&lt;prix&gt;450&lt;/prix&gt;</v>
      </c>
    </row>
    <row r="16" spans="1:3" x14ac:dyDescent="0.25">
      <c r="C16" t="str">
        <f>Feuil1!I19</f>
        <v>&lt;vendu&gt;1&lt;/vendu&gt;</v>
      </c>
    </row>
    <row r="17" spans="2:3" x14ac:dyDescent="0.25">
      <c r="C17" t="str">
        <f>Feuil1!I20</f>
        <v>&lt;images&gt;</v>
      </c>
    </row>
    <row r="18" spans="2:3" x14ac:dyDescent="0.25">
      <c r="C18">
        <f>Feuil1!I26</f>
        <v>0</v>
      </c>
    </row>
    <row r="19" spans="2:3" x14ac:dyDescent="0.25">
      <c r="C19" t="str">
        <f>Feuil1!I27</f>
        <v>&lt;/images&gt;</v>
      </c>
    </row>
    <row r="20" spans="2:3" x14ac:dyDescent="0.25">
      <c r="B20" t="str">
        <f>Feuil1!H28</f>
        <v>&lt;/article&gt;</v>
      </c>
    </row>
    <row r="21" spans="2:3" x14ac:dyDescent="0.25">
      <c r="B21" t="str">
        <f>Feuil1!H29</f>
        <v>&lt;article id="2"&gt;</v>
      </c>
    </row>
    <row r="22" spans="2:3" x14ac:dyDescent="0.25">
      <c r="C22" t="str">
        <f>Feuil1!I30</f>
        <v>&lt;titre&gt;Réfrigirateur Frigidaire&lt;/titre&gt;</v>
      </c>
    </row>
    <row r="23" spans="2:3" x14ac:dyDescent="0.25">
      <c r="C23" t="str">
        <f>Feuil1!I31</f>
        <v>&lt;desc&gt;
Réfrigirateur Frigidaire
*** Disponible à partir du 1er juin ! ***
- Acheté neuf en juillet 2013
- Jamais déménagé
- Vente pour cause de départ à l&amp;apos;étranger
- Energy Star
- 2 portes (réfrigérateur et congélateur)
- Contenance de 20.3 pieds cube
- Réfrigérateur en haut
- Congélateur en bas
- Portes réversibles
- Couleur : Gris métallique
- Dimensions : 30&amp;apos;&amp;apos; W x 33-7/8&amp;apos;&amp;apos; D x 67-3/4&amp;apos;&amp;apos; H
Fournit avec guide d&amp;apos;instructions
*** Disponible à partir du 1er juin ! ***
Prix d&amp;apos;achat : 950$&lt;/desc&gt;</v>
      </c>
    </row>
    <row r="24" spans="2:3" x14ac:dyDescent="0.25">
      <c r="C24" t="str">
        <f>Feuil1!I32</f>
        <v>&lt;prix&gt;400&lt;/prix&gt;</v>
      </c>
    </row>
    <row r="25" spans="2:3" x14ac:dyDescent="0.25">
      <c r="C25" t="str">
        <f>Feuil1!I33</f>
        <v>&lt;vendu&gt;1&lt;/vendu&gt;</v>
      </c>
    </row>
    <row r="26" spans="2:3" x14ac:dyDescent="0.25">
      <c r="C26" t="str">
        <f>Feuil1!I34</f>
        <v>&lt;images&gt;</v>
      </c>
    </row>
    <row r="27" spans="2:3" x14ac:dyDescent="0.25">
      <c r="C27" t="e">
        <f>Feuil1!#REF!</f>
        <v>#REF!</v>
      </c>
    </row>
    <row r="28" spans="2:3" x14ac:dyDescent="0.25">
      <c r="C28" t="str">
        <f>Feuil1!I38</f>
        <v>&lt;/images&gt;</v>
      </c>
    </row>
    <row r="29" spans="2:3" x14ac:dyDescent="0.25">
      <c r="B29" t="str">
        <f>Feuil1!H39</f>
        <v>&lt;/article&gt;</v>
      </c>
    </row>
    <row r="30" spans="2:3" x14ac:dyDescent="0.25">
      <c r="B30" t="str">
        <f>Feuil1!H40</f>
        <v>&lt;article id="3"&gt;</v>
      </c>
    </row>
    <row r="31" spans="2:3" x14ac:dyDescent="0.25">
      <c r="C31" t="str">
        <f>Feuil1!I41</f>
        <v>&lt;titre&gt;Laveuse Whirlpool Duet&lt;/titre&gt;</v>
      </c>
    </row>
    <row r="32" spans="2:3" x14ac:dyDescent="0.25">
      <c r="C32" t="str">
        <f>Feuil1!I42</f>
        <v>&lt;desc&gt;***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d&amp;apos;instructions
*** Disponible à partir du 1er juin ! ***
Prix d&amp;apos;achat : 850$&lt;/desc&gt;</v>
      </c>
    </row>
    <row r="33" spans="2:3" x14ac:dyDescent="0.25">
      <c r="C33" t="str">
        <f>Feuil1!I43</f>
        <v>&lt;prix&gt;350&lt;/prix&gt;</v>
      </c>
    </row>
    <row r="34" spans="2:3" x14ac:dyDescent="0.25">
      <c r="C34" t="str">
        <f>Feuil1!I44</f>
        <v>&lt;vendu&gt;1&lt;/vendu&gt;</v>
      </c>
    </row>
    <row r="35" spans="2:3" x14ac:dyDescent="0.25">
      <c r="C35" t="str">
        <f>Feuil1!I45</f>
        <v>&lt;images&gt;</v>
      </c>
    </row>
    <row r="36" spans="2:3" x14ac:dyDescent="0.25">
      <c r="C36">
        <f>Feuil1!I51</f>
        <v>0</v>
      </c>
    </row>
    <row r="37" spans="2:3" x14ac:dyDescent="0.25">
      <c r="C37" t="str">
        <f>Feuil1!I52</f>
        <v>&lt;/images&gt;</v>
      </c>
    </row>
    <row r="38" spans="2:3" x14ac:dyDescent="0.25">
      <c r="B38" t="str">
        <f>Feuil1!H53</f>
        <v>&lt;/article&gt;</v>
      </c>
    </row>
    <row r="39" spans="2:3" x14ac:dyDescent="0.25">
      <c r="B39" t="str">
        <f>Feuil1!H54</f>
        <v>&lt;article id="4"&gt;</v>
      </c>
    </row>
    <row r="40" spans="2:3" x14ac:dyDescent="0.25">
      <c r="C40" t="str">
        <f>Feuil1!I55</f>
        <v>&lt;titre&gt;Sécheuse Whirlpool Duet&lt;/titre&gt;</v>
      </c>
    </row>
    <row r="41" spans="2:3" x14ac:dyDescent="0.25">
      <c r="C41" t="str">
        <f>Feuil1!I56</f>
        <v>&lt;desc&gt;*** Disponible à partir du 1er juin ! ***
- Chargement frontal
- Capacité de 6.7 pieds cube
- Couleur : blanc
- Energy Star
- Superposable avec la laveuse
Dimensions : Depth 29.0 in, Height 36.0 in, Width 27.0 in
*** Disponible à partir du 1er juin ! ***
Prix d&amp;apos;achat : 650$&lt;/desc&gt;</v>
      </c>
    </row>
    <row r="42" spans="2:3" x14ac:dyDescent="0.25">
      <c r="C42" t="str">
        <f>Feuil1!I57</f>
        <v>&lt;prix&gt;250&lt;/prix&gt;</v>
      </c>
    </row>
    <row r="43" spans="2:3" x14ac:dyDescent="0.25">
      <c r="C43" t="str">
        <f>Feuil1!I58</f>
        <v>&lt;vendu&gt;1&lt;/vendu&gt;</v>
      </c>
    </row>
    <row r="44" spans="2:3" x14ac:dyDescent="0.25">
      <c r="C44" t="str">
        <f>Feuil1!I59</f>
        <v>&lt;images&gt;</v>
      </c>
    </row>
    <row r="45" spans="2:3" x14ac:dyDescent="0.25">
      <c r="C45" t="e">
        <f>Feuil1!#REF!</f>
        <v>#REF!</v>
      </c>
    </row>
    <row r="46" spans="2:3" x14ac:dyDescent="0.25">
      <c r="C46" t="str">
        <f>Feuil1!I64</f>
        <v>&lt;/images&gt;</v>
      </c>
    </row>
    <row r="47" spans="2:3" x14ac:dyDescent="0.25">
      <c r="B47" t="str">
        <f>Feuil1!H65</f>
        <v>&lt;/article&gt;</v>
      </c>
    </row>
    <row r="48" spans="2:3" x14ac:dyDescent="0.25">
      <c r="B48" t="e">
        <f>#REF!</f>
        <v>#REF!</v>
      </c>
    </row>
    <row r="49" spans="2:3" x14ac:dyDescent="0.25">
      <c r="C49" t="e">
        <f>#REF!</f>
        <v>#REF!</v>
      </c>
    </row>
    <row r="50" spans="2:3" x14ac:dyDescent="0.25">
      <c r="C50" t="e">
        <f>#REF!</f>
        <v>#REF!</v>
      </c>
    </row>
    <row r="51" spans="2:3" x14ac:dyDescent="0.25">
      <c r="C51" t="e">
        <f>#REF!</f>
        <v>#REF!</v>
      </c>
    </row>
    <row r="52" spans="2:3" x14ac:dyDescent="0.25">
      <c r="C52" t="e">
        <f>#REF!</f>
        <v>#REF!</v>
      </c>
    </row>
    <row r="53" spans="2:3" x14ac:dyDescent="0.25">
      <c r="C53" t="e">
        <f>#REF!</f>
        <v>#REF!</v>
      </c>
    </row>
    <row r="54" spans="2:3" x14ac:dyDescent="0.25">
      <c r="C54" t="e">
        <f>#REF!</f>
        <v>#REF!</v>
      </c>
    </row>
    <row r="55" spans="2:3" x14ac:dyDescent="0.25">
      <c r="C55" t="e">
        <f>#REF!</f>
        <v>#REF!</v>
      </c>
    </row>
    <row r="56" spans="2:3" x14ac:dyDescent="0.25">
      <c r="B56" t="e">
        <f>#REF!</f>
        <v>#REF!</v>
      </c>
    </row>
    <row r="57" spans="2:3" x14ac:dyDescent="0.25">
      <c r="B57" t="e">
        <f>#REF!</f>
        <v>#REF!</v>
      </c>
    </row>
    <row r="58" spans="2:3" x14ac:dyDescent="0.25">
      <c r="C58" t="e">
        <f>#REF!</f>
        <v>#REF!</v>
      </c>
    </row>
    <row r="59" spans="2:3" x14ac:dyDescent="0.25">
      <c r="C59" t="e">
        <f>#REF!</f>
        <v>#REF!</v>
      </c>
    </row>
    <row r="60" spans="2:3" x14ac:dyDescent="0.25">
      <c r="C60" t="e">
        <f>#REF!</f>
        <v>#REF!</v>
      </c>
    </row>
    <row r="61" spans="2:3" x14ac:dyDescent="0.25">
      <c r="C61" t="e">
        <f>#REF!</f>
        <v>#REF!</v>
      </c>
    </row>
    <row r="62" spans="2:3" x14ac:dyDescent="0.25">
      <c r="C62" t="e">
        <f>#REF!</f>
        <v>#REF!</v>
      </c>
    </row>
    <row r="63" spans="2:3" x14ac:dyDescent="0.25">
      <c r="C63" t="e">
        <f>#REF!</f>
        <v>#REF!</v>
      </c>
    </row>
    <row r="64" spans="2:3" x14ac:dyDescent="0.25">
      <c r="C64" t="e">
        <f>#REF!</f>
        <v>#REF!</v>
      </c>
    </row>
    <row r="65" spans="2:3" x14ac:dyDescent="0.25">
      <c r="B65" t="e">
        <f>#REF!</f>
        <v>#REF!</v>
      </c>
    </row>
    <row r="66" spans="2:3" x14ac:dyDescent="0.25">
      <c r="B66" t="e">
        <f>#REF!</f>
        <v>#REF!</v>
      </c>
    </row>
    <row r="67" spans="2:3" x14ac:dyDescent="0.25">
      <c r="C67" t="e">
        <f>#REF!</f>
        <v>#REF!</v>
      </c>
    </row>
    <row r="68" spans="2:3" x14ac:dyDescent="0.25">
      <c r="C68" t="e">
        <f>#REF!</f>
        <v>#REF!</v>
      </c>
    </row>
    <row r="69" spans="2:3" x14ac:dyDescent="0.25">
      <c r="C69" t="e">
        <f>#REF!</f>
        <v>#REF!</v>
      </c>
    </row>
    <row r="70" spans="2:3" x14ac:dyDescent="0.25">
      <c r="C70" t="e">
        <f>#REF!</f>
        <v>#REF!</v>
      </c>
    </row>
    <row r="71" spans="2:3" x14ac:dyDescent="0.25">
      <c r="C71" t="e">
        <f>#REF!</f>
        <v>#REF!</v>
      </c>
    </row>
    <row r="72" spans="2:3" x14ac:dyDescent="0.25">
      <c r="C72" t="e">
        <f>#REF!</f>
        <v>#REF!</v>
      </c>
    </row>
    <row r="73" spans="2:3" x14ac:dyDescent="0.25">
      <c r="C73" t="e">
        <f>#REF!</f>
        <v>#REF!</v>
      </c>
    </row>
    <row r="74" spans="2:3" x14ac:dyDescent="0.25">
      <c r="B74" t="e">
        <f>#REF!</f>
        <v>#REF!</v>
      </c>
    </row>
    <row r="75" spans="2:3" x14ac:dyDescent="0.25">
      <c r="B75" t="e">
        <f>#REF!</f>
        <v>#REF!</v>
      </c>
    </row>
    <row r="76" spans="2:3" x14ac:dyDescent="0.25">
      <c r="C76" t="e">
        <f>#REF!</f>
        <v>#REF!</v>
      </c>
    </row>
    <row r="77" spans="2:3" x14ac:dyDescent="0.25">
      <c r="C77" t="e">
        <f>#REF!</f>
        <v>#REF!</v>
      </c>
    </row>
    <row r="78" spans="2:3" x14ac:dyDescent="0.25">
      <c r="C78" t="e">
        <f>#REF!</f>
        <v>#REF!</v>
      </c>
    </row>
    <row r="79" spans="2:3" x14ac:dyDescent="0.25">
      <c r="C79" t="e">
        <f>#REF!</f>
        <v>#REF!</v>
      </c>
    </row>
    <row r="80" spans="2:3" x14ac:dyDescent="0.25">
      <c r="C80" t="e">
        <f>#REF!</f>
        <v>#REF!</v>
      </c>
    </row>
    <row r="81" spans="2:3" x14ac:dyDescent="0.25">
      <c r="C81" t="e">
        <f>#REF!</f>
        <v>#REF!</v>
      </c>
    </row>
    <row r="82" spans="2:3" x14ac:dyDescent="0.25">
      <c r="C82" t="e">
        <f>#REF!</f>
        <v>#REF!</v>
      </c>
    </row>
    <row r="83" spans="2:3" x14ac:dyDescent="0.25">
      <c r="B83" t="e">
        <f>#REF!</f>
        <v>#REF!</v>
      </c>
    </row>
    <row r="84" spans="2:3" x14ac:dyDescent="0.25">
      <c r="B84" t="e">
        <f>#REF!</f>
        <v>#REF!</v>
      </c>
    </row>
    <row r="85" spans="2:3" x14ac:dyDescent="0.25">
      <c r="C85" t="e">
        <f>#REF!</f>
        <v>#REF!</v>
      </c>
    </row>
    <row r="86" spans="2:3" x14ac:dyDescent="0.25">
      <c r="C86" t="e">
        <f>#REF!</f>
        <v>#REF!</v>
      </c>
    </row>
    <row r="87" spans="2:3" x14ac:dyDescent="0.25">
      <c r="C87" t="e">
        <f>#REF!</f>
        <v>#REF!</v>
      </c>
    </row>
    <row r="88" spans="2:3" x14ac:dyDescent="0.25">
      <c r="C88" t="e">
        <f>#REF!</f>
        <v>#REF!</v>
      </c>
    </row>
    <row r="89" spans="2:3" x14ac:dyDescent="0.25">
      <c r="C89" t="e">
        <f>#REF!</f>
        <v>#REF!</v>
      </c>
    </row>
    <row r="90" spans="2:3" x14ac:dyDescent="0.25">
      <c r="C90" t="e">
        <f>#REF!</f>
        <v>#REF!</v>
      </c>
    </row>
    <row r="91" spans="2:3" x14ac:dyDescent="0.25">
      <c r="C91" t="e">
        <f>#REF!</f>
        <v>#REF!</v>
      </c>
    </row>
    <row r="92" spans="2:3" x14ac:dyDescent="0.25">
      <c r="B92" t="e">
        <f>#REF!</f>
        <v>#REF!</v>
      </c>
    </row>
    <row r="93" spans="2:3" x14ac:dyDescent="0.25">
      <c r="B93" t="e">
        <f>#REF!</f>
        <v>#REF!</v>
      </c>
    </row>
    <row r="94" spans="2:3" x14ac:dyDescent="0.25">
      <c r="C94" t="e">
        <f>#REF!</f>
        <v>#REF!</v>
      </c>
    </row>
    <row r="95" spans="2:3" x14ac:dyDescent="0.25">
      <c r="C95" t="e">
        <f>#REF!</f>
        <v>#REF!</v>
      </c>
    </row>
    <row r="96" spans="2:3" x14ac:dyDescent="0.25">
      <c r="C96" t="e">
        <f>#REF!</f>
        <v>#REF!</v>
      </c>
    </row>
    <row r="97" spans="2:3" x14ac:dyDescent="0.25">
      <c r="C97" t="e">
        <f>#REF!</f>
        <v>#REF!</v>
      </c>
    </row>
    <row r="98" spans="2:3" x14ac:dyDescent="0.25">
      <c r="C98" t="e">
        <f>#REF!</f>
        <v>#REF!</v>
      </c>
    </row>
    <row r="99" spans="2:3" x14ac:dyDescent="0.25">
      <c r="C99" t="e">
        <f>#REF!</f>
        <v>#REF!</v>
      </c>
    </row>
    <row r="100" spans="2:3" x14ac:dyDescent="0.25">
      <c r="C100" t="e">
        <f>#REF!</f>
        <v>#REF!</v>
      </c>
    </row>
    <row r="101" spans="2:3" x14ac:dyDescent="0.25">
      <c r="B101" t="e">
        <f>#REF!</f>
        <v>#REF!</v>
      </c>
    </row>
    <row r="102" spans="2:3" x14ac:dyDescent="0.25">
      <c r="B102" t="e">
        <f>#REF!</f>
        <v>#REF!</v>
      </c>
    </row>
    <row r="103" spans="2:3" x14ac:dyDescent="0.25">
      <c r="C103" t="e">
        <f>#REF!</f>
        <v>#REF!</v>
      </c>
    </row>
    <row r="104" spans="2:3" x14ac:dyDescent="0.25">
      <c r="C104" t="e">
        <f>#REF!</f>
        <v>#REF!</v>
      </c>
    </row>
    <row r="105" spans="2:3" x14ac:dyDescent="0.25">
      <c r="C105" t="e">
        <f>#REF!</f>
        <v>#REF!</v>
      </c>
    </row>
    <row r="106" spans="2:3" x14ac:dyDescent="0.25">
      <c r="C106" t="e">
        <f>#REF!</f>
        <v>#REF!</v>
      </c>
    </row>
    <row r="107" spans="2:3" x14ac:dyDescent="0.25">
      <c r="C107" t="e">
        <f>#REF!</f>
        <v>#REF!</v>
      </c>
    </row>
    <row r="108" spans="2:3" x14ac:dyDescent="0.25">
      <c r="C108" t="e">
        <f>#REF!</f>
        <v>#REF!</v>
      </c>
    </row>
    <row r="109" spans="2:3" x14ac:dyDescent="0.25">
      <c r="C109" t="e">
        <f>#REF!</f>
        <v>#REF!</v>
      </c>
    </row>
    <row r="110" spans="2:3" x14ac:dyDescent="0.25">
      <c r="B110" t="e">
        <f>#REF!</f>
        <v>#REF!</v>
      </c>
    </row>
    <row r="111" spans="2:3" x14ac:dyDescent="0.25">
      <c r="B111" t="e">
        <f>#REF!</f>
        <v>#REF!</v>
      </c>
    </row>
    <row r="112" spans="2:3" x14ac:dyDescent="0.25">
      <c r="C112" t="e">
        <f>#REF!</f>
        <v>#REF!</v>
      </c>
    </row>
    <row r="113" spans="2:3" x14ac:dyDescent="0.25">
      <c r="C113" t="e">
        <f>#REF!</f>
        <v>#REF!</v>
      </c>
    </row>
    <row r="114" spans="2:3" x14ac:dyDescent="0.25">
      <c r="C114" t="e">
        <f>#REF!</f>
        <v>#REF!</v>
      </c>
    </row>
    <row r="115" spans="2:3" x14ac:dyDescent="0.25">
      <c r="C115" t="e">
        <f>#REF!</f>
        <v>#REF!</v>
      </c>
    </row>
    <row r="116" spans="2:3" x14ac:dyDescent="0.25">
      <c r="C116" t="e">
        <f>#REF!</f>
        <v>#REF!</v>
      </c>
    </row>
    <row r="117" spans="2:3" x14ac:dyDescent="0.25">
      <c r="C117" t="e">
        <f>#REF!</f>
        <v>#REF!</v>
      </c>
    </row>
    <row r="118" spans="2:3" x14ac:dyDescent="0.25">
      <c r="C118" t="e">
        <f>#REF!</f>
        <v>#REF!</v>
      </c>
    </row>
    <row r="119" spans="2:3" x14ac:dyDescent="0.25">
      <c r="B119" t="e">
        <f>#REF!</f>
        <v>#REF!</v>
      </c>
    </row>
    <row r="120" spans="2:3" x14ac:dyDescent="0.25">
      <c r="B120" t="e">
        <f>#REF!</f>
        <v>#REF!</v>
      </c>
    </row>
    <row r="121" spans="2:3" x14ac:dyDescent="0.25">
      <c r="C121" t="e">
        <f>#REF!</f>
        <v>#REF!</v>
      </c>
    </row>
    <row r="122" spans="2:3" x14ac:dyDescent="0.25">
      <c r="C122" t="e">
        <f>#REF!</f>
        <v>#REF!</v>
      </c>
    </row>
    <row r="123" spans="2:3" x14ac:dyDescent="0.25">
      <c r="C123" t="e">
        <f>#REF!</f>
        <v>#REF!</v>
      </c>
    </row>
    <row r="124" spans="2:3" x14ac:dyDescent="0.25">
      <c r="C124" t="e">
        <f>#REF!</f>
        <v>#REF!</v>
      </c>
    </row>
    <row r="125" spans="2:3" x14ac:dyDescent="0.25">
      <c r="C125" t="e">
        <f>#REF!</f>
        <v>#REF!</v>
      </c>
    </row>
    <row r="126" spans="2:3" x14ac:dyDescent="0.25">
      <c r="C126" t="e">
        <f>#REF!</f>
        <v>#REF!</v>
      </c>
    </row>
    <row r="127" spans="2:3" x14ac:dyDescent="0.25">
      <c r="C127" t="e">
        <f>#REF!</f>
        <v>#REF!</v>
      </c>
    </row>
    <row r="128" spans="2:3" x14ac:dyDescent="0.25">
      <c r="B128" t="e">
        <f>#REF!</f>
        <v>#REF!</v>
      </c>
    </row>
    <row r="129" spans="2:3" x14ac:dyDescent="0.25">
      <c r="B129" t="e">
        <f>#REF!</f>
        <v>#REF!</v>
      </c>
    </row>
    <row r="130" spans="2:3" x14ac:dyDescent="0.25">
      <c r="C130" t="e">
        <f>#REF!</f>
        <v>#REF!</v>
      </c>
    </row>
    <row r="131" spans="2:3" x14ac:dyDescent="0.25">
      <c r="C131" t="e">
        <f>#REF!</f>
        <v>#REF!</v>
      </c>
    </row>
    <row r="132" spans="2:3" x14ac:dyDescent="0.25">
      <c r="C132" t="e">
        <f>#REF!</f>
        <v>#REF!</v>
      </c>
    </row>
    <row r="133" spans="2:3" x14ac:dyDescent="0.25">
      <c r="C133" t="e">
        <f>#REF!</f>
        <v>#REF!</v>
      </c>
    </row>
    <row r="134" spans="2:3" x14ac:dyDescent="0.25">
      <c r="C134" t="e">
        <f>#REF!</f>
        <v>#REF!</v>
      </c>
    </row>
    <row r="135" spans="2:3" x14ac:dyDescent="0.25">
      <c r="C135" t="e">
        <f>#REF!</f>
        <v>#REF!</v>
      </c>
    </row>
    <row r="136" spans="2:3" x14ac:dyDescent="0.25">
      <c r="C136" t="e">
        <f>#REF!</f>
        <v>#REF!</v>
      </c>
    </row>
    <row r="137" spans="2:3" x14ac:dyDescent="0.25">
      <c r="B137" t="e">
        <f>#REF!</f>
        <v>#REF!</v>
      </c>
    </row>
    <row r="138" spans="2:3" x14ac:dyDescent="0.25">
      <c r="B138" t="e">
        <f>#REF!</f>
        <v>#REF!</v>
      </c>
    </row>
    <row r="139" spans="2:3" x14ac:dyDescent="0.25">
      <c r="C139" t="e">
        <f>#REF!</f>
        <v>#REF!</v>
      </c>
    </row>
    <row r="140" spans="2:3" x14ac:dyDescent="0.25">
      <c r="C140" t="e">
        <f>#REF!</f>
        <v>#REF!</v>
      </c>
    </row>
    <row r="141" spans="2:3" x14ac:dyDescent="0.25">
      <c r="C141" t="e">
        <f>#REF!</f>
        <v>#REF!</v>
      </c>
    </row>
    <row r="142" spans="2:3" x14ac:dyDescent="0.25">
      <c r="C142" t="e">
        <f>#REF!</f>
        <v>#REF!</v>
      </c>
    </row>
    <row r="143" spans="2:3" x14ac:dyDescent="0.25">
      <c r="C143" t="e">
        <f>#REF!</f>
        <v>#REF!</v>
      </c>
    </row>
    <row r="144" spans="2:3" x14ac:dyDescent="0.25">
      <c r="C144" t="e">
        <f>#REF!</f>
        <v>#REF!</v>
      </c>
    </row>
    <row r="145" spans="2:3" x14ac:dyDescent="0.25">
      <c r="C145" t="e">
        <f>#REF!</f>
        <v>#REF!</v>
      </c>
    </row>
    <row r="146" spans="2:3" x14ac:dyDescent="0.25">
      <c r="B146" t="e">
        <f>#REF!</f>
        <v>#REF!</v>
      </c>
    </row>
    <row r="147" spans="2:3" x14ac:dyDescent="0.25">
      <c r="B147" t="e">
        <f>#REF!</f>
        <v>#REF!</v>
      </c>
    </row>
    <row r="148" spans="2:3" x14ac:dyDescent="0.25">
      <c r="C148" t="e">
        <f>#REF!</f>
        <v>#REF!</v>
      </c>
    </row>
    <row r="149" spans="2:3" x14ac:dyDescent="0.25">
      <c r="C149" t="e">
        <f>#REF!</f>
        <v>#REF!</v>
      </c>
    </row>
    <row r="150" spans="2:3" x14ac:dyDescent="0.25">
      <c r="C150" t="e">
        <f>#REF!</f>
        <v>#REF!</v>
      </c>
    </row>
    <row r="151" spans="2:3" x14ac:dyDescent="0.25">
      <c r="C151" t="e">
        <f>#REF!</f>
        <v>#REF!</v>
      </c>
    </row>
    <row r="152" spans="2:3" x14ac:dyDescent="0.25">
      <c r="C152" t="e">
        <f>#REF!</f>
        <v>#REF!</v>
      </c>
    </row>
    <row r="153" spans="2:3" x14ac:dyDescent="0.25">
      <c r="C153" t="e">
        <f>#REF!</f>
        <v>#REF!</v>
      </c>
    </row>
    <row r="154" spans="2:3" x14ac:dyDescent="0.25">
      <c r="C154" t="e">
        <f>#REF!</f>
        <v>#REF!</v>
      </c>
    </row>
    <row r="155" spans="2:3" x14ac:dyDescent="0.25">
      <c r="B155" t="e">
        <f>#REF!</f>
        <v>#REF!</v>
      </c>
    </row>
    <row r="156" spans="2:3" x14ac:dyDescent="0.25">
      <c r="B156" t="e">
        <f>#REF!</f>
        <v>#REF!</v>
      </c>
    </row>
    <row r="157" spans="2:3" x14ac:dyDescent="0.25">
      <c r="C157" t="e">
        <f>#REF!</f>
        <v>#REF!</v>
      </c>
    </row>
    <row r="158" spans="2:3" x14ac:dyDescent="0.25">
      <c r="C158" t="e">
        <f>#REF!</f>
        <v>#REF!</v>
      </c>
    </row>
    <row r="159" spans="2:3" x14ac:dyDescent="0.25">
      <c r="C159" t="e">
        <f>#REF!</f>
        <v>#REF!</v>
      </c>
    </row>
    <row r="160" spans="2:3" x14ac:dyDescent="0.25">
      <c r="C160" t="e">
        <f>#REF!</f>
        <v>#REF!</v>
      </c>
    </row>
    <row r="161" spans="2:3" x14ac:dyDescent="0.25">
      <c r="C161" t="e">
        <f>#REF!</f>
        <v>#REF!</v>
      </c>
    </row>
    <row r="162" spans="2:3" x14ac:dyDescent="0.25">
      <c r="C162" t="e">
        <f>#REF!</f>
        <v>#REF!</v>
      </c>
    </row>
    <row r="163" spans="2:3" x14ac:dyDescent="0.25">
      <c r="C163" t="e">
        <f>#REF!</f>
        <v>#REF!</v>
      </c>
    </row>
    <row r="164" spans="2:3" x14ac:dyDescent="0.25">
      <c r="B164" t="e">
        <f>#REF!</f>
        <v>#REF!</v>
      </c>
    </row>
    <row r="165" spans="2:3" x14ac:dyDescent="0.25">
      <c r="B165" t="e">
        <f>#REF!</f>
        <v>#REF!</v>
      </c>
    </row>
    <row r="166" spans="2:3" x14ac:dyDescent="0.25">
      <c r="C166" t="e">
        <f>#REF!</f>
        <v>#REF!</v>
      </c>
    </row>
    <row r="167" spans="2:3" x14ac:dyDescent="0.25">
      <c r="C167" t="e">
        <f>#REF!</f>
        <v>#REF!</v>
      </c>
    </row>
    <row r="168" spans="2:3" x14ac:dyDescent="0.25">
      <c r="C168" t="e">
        <f>#REF!</f>
        <v>#REF!</v>
      </c>
    </row>
    <row r="169" spans="2:3" x14ac:dyDescent="0.25">
      <c r="C169" t="e">
        <f>#REF!</f>
        <v>#REF!</v>
      </c>
    </row>
    <row r="170" spans="2:3" x14ac:dyDescent="0.25">
      <c r="C170" t="e">
        <f>#REF!</f>
        <v>#REF!</v>
      </c>
    </row>
    <row r="171" spans="2:3" x14ac:dyDescent="0.25">
      <c r="C171" t="e">
        <f>#REF!</f>
        <v>#REF!</v>
      </c>
    </row>
    <row r="172" spans="2:3" x14ac:dyDescent="0.25">
      <c r="C172" t="e">
        <f>#REF!</f>
        <v>#REF!</v>
      </c>
    </row>
    <row r="173" spans="2:3" x14ac:dyDescent="0.25">
      <c r="B173" t="e">
        <f>#REF!</f>
        <v>#REF!</v>
      </c>
    </row>
    <row r="174" spans="2:3" x14ac:dyDescent="0.25">
      <c r="B174" t="e">
        <f>#REF!</f>
        <v>#REF!</v>
      </c>
    </row>
    <row r="175" spans="2:3" x14ac:dyDescent="0.25">
      <c r="C175" t="e">
        <f>#REF!</f>
        <v>#REF!</v>
      </c>
    </row>
    <row r="176" spans="2:3" x14ac:dyDescent="0.25">
      <c r="C176" t="e">
        <f>#REF!</f>
        <v>#REF!</v>
      </c>
    </row>
    <row r="177" spans="2:3" x14ac:dyDescent="0.25">
      <c r="C177" t="e">
        <f>#REF!</f>
        <v>#REF!</v>
      </c>
    </row>
    <row r="178" spans="2:3" x14ac:dyDescent="0.25">
      <c r="C178" t="e">
        <f>#REF!</f>
        <v>#REF!</v>
      </c>
    </row>
    <row r="179" spans="2:3" x14ac:dyDescent="0.25">
      <c r="C179" t="e">
        <f>#REF!</f>
        <v>#REF!</v>
      </c>
    </row>
    <row r="180" spans="2:3" x14ac:dyDescent="0.25">
      <c r="C180" t="e">
        <f>#REF!</f>
        <v>#REF!</v>
      </c>
    </row>
    <row r="181" spans="2:3" x14ac:dyDescent="0.25">
      <c r="C181" t="e">
        <f>#REF!</f>
        <v>#REF!</v>
      </c>
    </row>
    <row r="182" spans="2:3" x14ac:dyDescent="0.25">
      <c r="B182" t="e">
        <f>#REF!</f>
        <v>#REF!</v>
      </c>
    </row>
    <row r="183" spans="2:3" x14ac:dyDescent="0.25">
      <c r="B183" t="e">
        <f>#REF!</f>
        <v>#REF!</v>
      </c>
    </row>
    <row r="184" spans="2:3" x14ac:dyDescent="0.25">
      <c r="C184" t="e">
        <f>#REF!</f>
        <v>#REF!</v>
      </c>
    </row>
    <row r="185" spans="2:3" x14ac:dyDescent="0.25">
      <c r="C185" t="e">
        <f>#REF!</f>
        <v>#REF!</v>
      </c>
    </row>
    <row r="186" spans="2:3" x14ac:dyDescent="0.25">
      <c r="C186" t="e">
        <f>#REF!</f>
        <v>#REF!</v>
      </c>
    </row>
    <row r="187" spans="2:3" x14ac:dyDescent="0.25">
      <c r="C187" t="e">
        <f>#REF!</f>
        <v>#REF!</v>
      </c>
    </row>
    <row r="188" spans="2:3" x14ac:dyDescent="0.25">
      <c r="C188" t="e">
        <f>#REF!</f>
        <v>#REF!</v>
      </c>
    </row>
    <row r="189" spans="2:3" x14ac:dyDescent="0.25">
      <c r="C189" t="e">
        <f>#REF!</f>
        <v>#REF!</v>
      </c>
    </row>
    <row r="190" spans="2:3" x14ac:dyDescent="0.25">
      <c r="C190" t="e">
        <f>#REF!</f>
        <v>#REF!</v>
      </c>
    </row>
    <row r="191" spans="2:3" x14ac:dyDescent="0.25">
      <c r="B191" t="e">
        <f>#REF!</f>
        <v>#REF!</v>
      </c>
    </row>
    <row r="192" spans="2:3" x14ac:dyDescent="0.25">
      <c r="B192" t="e">
        <f>#REF!</f>
        <v>#REF!</v>
      </c>
    </row>
    <row r="193" spans="2:3" x14ac:dyDescent="0.25">
      <c r="C193" t="e">
        <f>#REF!</f>
        <v>#REF!</v>
      </c>
    </row>
    <row r="194" spans="2:3" x14ac:dyDescent="0.25">
      <c r="C194" t="e">
        <f>#REF!</f>
        <v>#REF!</v>
      </c>
    </row>
    <row r="195" spans="2:3" x14ac:dyDescent="0.25">
      <c r="C195" t="e">
        <f>#REF!</f>
        <v>#REF!</v>
      </c>
    </row>
    <row r="196" spans="2:3" x14ac:dyDescent="0.25">
      <c r="C196" t="e">
        <f>#REF!</f>
        <v>#REF!</v>
      </c>
    </row>
    <row r="197" spans="2:3" x14ac:dyDescent="0.25">
      <c r="C197" t="e">
        <f>#REF!</f>
        <v>#REF!</v>
      </c>
    </row>
    <row r="198" spans="2:3" x14ac:dyDescent="0.25">
      <c r="C198" t="e">
        <f>#REF!</f>
        <v>#REF!</v>
      </c>
    </row>
    <row r="199" spans="2:3" x14ac:dyDescent="0.25">
      <c r="C199" t="e">
        <f>#REF!</f>
        <v>#REF!</v>
      </c>
    </row>
    <row r="200" spans="2:3" x14ac:dyDescent="0.25">
      <c r="B200" t="e">
        <f>#REF!</f>
        <v>#REF!</v>
      </c>
    </row>
    <row r="201" spans="2:3" x14ac:dyDescent="0.25">
      <c r="B201" t="e">
        <f>#REF!</f>
        <v>#REF!</v>
      </c>
    </row>
    <row r="202" spans="2:3" x14ac:dyDescent="0.25">
      <c r="C202" t="e">
        <f>#REF!</f>
        <v>#REF!</v>
      </c>
    </row>
    <row r="203" spans="2:3" x14ac:dyDescent="0.25">
      <c r="C203" t="e">
        <f>#REF!</f>
        <v>#REF!</v>
      </c>
    </row>
    <row r="204" spans="2:3" x14ac:dyDescent="0.25">
      <c r="C204" t="e">
        <f>#REF!</f>
        <v>#REF!</v>
      </c>
    </row>
    <row r="205" spans="2:3" x14ac:dyDescent="0.25">
      <c r="C205" t="e">
        <f>#REF!</f>
        <v>#REF!</v>
      </c>
    </row>
    <row r="206" spans="2:3" x14ac:dyDescent="0.25">
      <c r="C206" t="e">
        <f>#REF!</f>
        <v>#REF!</v>
      </c>
    </row>
    <row r="207" spans="2:3" x14ac:dyDescent="0.25">
      <c r="C207" t="e">
        <f>#REF!</f>
        <v>#REF!</v>
      </c>
    </row>
    <row r="208" spans="2:3" x14ac:dyDescent="0.25">
      <c r="C208" t="e">
        <f>#REF!</f>
        <v>#REF!</v>
      </c>
    </row>
    <row r="209" spans="2:3" x14ac:dyDescent="0.25">
      <c r="B209" t="e">
        <f>#REF!</f>
        <v>#REF!</v>
      </c>
    </row>
    <row r="210" spans="2:3" x14ac:dyDescent="0.25">
      <c r="B210" t="e">
        <f>#REF!</f>
        <v>#REF!</v>
      </c>
    </row>
    <row r="211" spans="2:3" x14ac:dyDescent="0.25">
      <c r="C211" t="e">
        <f>#REF!</f>
        <v>#REF!</v>
      </c>
    </row>
    <row r="212" spans="2:3" x14ac:dyDescent="0.25">
      <c r="C212" t="e">
        <f>#REF!</f>
        <v>#REF!</v>
      </c>
    </row>
    <row r="213" spans="2:3" x14ac:dyDescent="0.25">
      <c r="C213" t="e">
        <f>#REF!</f>
        <v>#REF!</v>
      </c>
    </row>
    <row r="214" spans="2:3" x14ac:dyDescent="0.25">
      <c r="C214" t="e">
        <f>#REF!</f>
        <v>#REF!</v>
      </c>
    </row>
    <row r="215" spans="2:3" x14ac:dyDescent="0.25">
      <c r="C215" t="e">
        <f>#REF!</f>
        <v>#REF!</v>
      </c>
    </row>
    <row r="216" spans="2:3" x14ac:dyDescent="0.25">
      <c r="C216" t="e">
        <f>#REF!</f>
        <v>#REF!</v>
      </c>
    </row>
    <row r="217" spans="2:3" x14ac:dyDescent="0.25">
      <c r="C217" t="e">
        <f>#REF!</f>
        <v>#REF!</v>
      </c>
    </row>
    <row r="218" spans="2:3" x14ac:dyDescent="0.25">
      <c r="B218" t="e">
        <f>#REF!</f>
        <v>#REF!</v>
      </c>
    </row>
    <row r="219" spans="2:3" x14ac:dyDescent="0.25">
      <c r="B219" t="e">
        <f>#REF!</f>
        <v>#REF!</v>
      </c>
    </row>
    <row r="220" spans="2:3" x14ac:dyDescent="0.25">
      <c r="C220" t="e">
        <f>#REF!</f>
        <v>#REF!</v>
      </c>
    </row>
    <row r="221" spans="2:3" x14ac:dyDescent="0.25">
      <c r="C221" t="e">
        <f>#REF!</f>
        <v>#REF!</v>
      </c>
    </row>
    <row r="222" spans="2:3" x14ac:dyDescent="0.25">
      <c r="C222" t="e">
        <f>#REF!</f>
        <v>#REF!</v>
      </c>
    </row>
    <row r="223" spans="2:3" x14ac:dyDescent="0.25">
      <c r="C223" t="e">
        <f>#REF!</f>
        <v>#REF!</v>
      </c>
    </row>
    <row r="224" spans="2:3" x14ac:dyDescent="0.25">
      <c r="C224" t="e">
        <f>#REF!</f>
        <v>#REF!</v>
      </c>
    </row>
    <row r="225" spans="1:3" x14ac:dyDescent="0.25">
      <c r="C225" t="e">
        <f>#REF!</f>
        <v>#REF!</v>
      </c>
    </row>
    <row r="226" spans="1:3" x14ac:dyDescent="0.25">
      <c r="C226" t="e">
        <f>#REF!</f>
        <v>#REF!</v>
      </c>
    </row>
    <row r="227" spans="1:3" x14ac:dyDescent="0.25">
      <c r="B227" t="e">
        <f>#REF!</f>
        <v>#REF!</v>
      </c>
    </row>
    <row r="228" spans="1:3" x14ac:dyDescent="0.25">
      <c r="A228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TOUT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Stephantasy</dc:creator>
  <cp:lastModifiedBy>Stephantasy</cp:lastModifiedBy>
  <dcterms:created xsi:type="dcterms:W3CDTF">2018-03-26T15:34:26Z</dcterms:created>
  <dcterms:modified xsi:type="dcterms:W3CDTF">2018-06-19T15:35:04Z</dcterms:modified>
</cp:coreProperties>
</file>